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iloy\Downloads\"/>
    </mc:Choice>
  </mc:AlternateContent>
  <bookViews>
    <workbookView xWindow="0" yWindow="0" windowWidth="13416" windowHeight="9420" tabRatio="500"/>
  </bookViews>
  <sheets>
    <sheet name="Companies" sheetId="1" r:id="rId1"/>
    <sheet name="Summary" sheetId="2" r:id="rId2"/>
    <sheet name="Fabgear Corp" sheetId="3" r:id="rId3"/>
    <sheet name="Elite Engineering Co." sheetId="4" r:id="rId4"/>
    <sheet name="Gurudatta CNC" sheetId="5" r:id="rId5"/>
    <sheet name="Associated Manufacturing LLP" sheetId="6" r:id="rId6"/>
    <sheet name="Sheet8" sheetId="7" r:id="rId7"/>
  </sheet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P3" i="1" l="1"/>
  <c r="P6" i="1"/>
  <c r="Q6" i="1" s="1"/>
  <c r="B8" i="4"/>
  <c r="P2" i="1"/>
  <c r="P12" i="1"/>
  <c r="Q12" i="1" s="1"/>
  <c r="P11" i="1"/>
  <c r="Q11" i="1" s="1"/>
  <c r="P17" i="1"/>
  <c r="Q17" i="1" s="1"/>
  <c r="P7" i="1"/>
  <c r="P14" i="1"/>
  <c r="P10" i="1"/>
  <c r="P20" i="1"/>
  <c r="Q20" i="1" s="1"/>
  <c r="P18" i="1"/>
  <c r="Q18" i="1" s="1"/>
  <c r="P8" i="1"/>
  <c r="P9" i="1"/>
  <c r="P5" i="1"/>
  <c r="P25" i="1"/>
  <c r="P24" i="1"/>
  <c r="P4" i="1"/>
  <c r="P26" i="1"/>
  <c r="P15" i="1"/>
  <c r="P13" i="1"/>
  <c r="P22" i="1"/>
  <c r="P23" i="1"/>
  <c r="P21" i="1"/>
  <c r="Q21" i="1" s="1"/>
  <c r="P19" i="1"/>
  <c r="P16" i="1"/>
  <c r="Q16" i="1" s="1"/>
  <c r="Q8" i="1" l="1"/>
  <c r="Q19" i="1"/>
  <c r="Q10" i="1"/>
  <c r="Q2" i="1"/>
  <c r="Q14" i="1"/>
  <c r="Q7" i="1"/>
</calcChain>
</file>

<file path=xl/sharedStrings.xml><?xml version="1.0" encoding="utf-8"?>
<sst xmlns="http://schemas.openxmlformats.org/spreadsheetml/2006/main" count="500" uniqueCount="343">
  <si>
    <t>COMPANY</t>
  </si>
  <si>
    <t>WEBSITE</t>
  </si>
  <si>
    <t>CITY/LOCATION</t>
  </si>
  <si>
    <t>SEGMENT</t>
  </si>
  <si>
    <t>Basket</t>
  </si>
  <si>
    <t>REVENUE BAND</t>
  </si>
  <si>
    <t>DECISION MAKER</t>
  </si>
  <si>
    <t>E1:PRODUCER</t>
  </si>
  <si>
    <t>E2:ACCESSIBLE</t>
  </si>
  <si>
    <t>C3/20</t>
  </si>
  <si>
    <t>C4/15</t>
  </si>
  <si>
    <t>C5/15</t>
  </si>
  <si>
    <t>C6/15</t>
  </si>
  <si>
    <t>C7/20</t>
  </si>
  <si>
    <t>C8/15</t>
  </si>
  <si>
    <t>OVERALL F SCORE</t>
  </si>
  <si>
    <t>VERDICT</t>
  </si>
  <si>
    <t>PERSONALIZATION HOOK</t>
  </si>
  <si>
    <t>Fabgear Corp</t>
  </si>
  <si>
    <t>https://www.indiamart.com/fabgearcorporation/</t>
  </si>
  <si>
    <t>PUNE</t>
  </si>
  <si>
    <t>CNC Machining</t>
  </si>
  <si>
    <t>C</t>
  </si>
  <si>
    <t>&lt;Rs.30Cr</t>
  </si>
  <si>
    <t>Vinoo Chari (CEO)</t>
  </si>
  <si>
    <t>PASS(Manufactures CNC plasma and gas cutting systems)</t>
  </si>
  <si>
    <t>Pass (HQ-Pune)</t>
  </si>
  <si>
    <t>"Two decades building CNC plasma and gas cutting systems for sectors like shipbuilding and heavy engineering while integrating global technologies like Hypertherm and Kjellberg into Indian manufacturing workflows.”</t>
  </si>
  <si>
    <t>Elite Engineering Co.</t>
  </si>
  <si>
    <t>https://eliteengineeringco.in/</t>
  </si>
  <si>
    <t>Precision auto components &amp; engineering</t>
  </si>
  <si>
    <t>Rs 30 cr-rs 100cr</t>
  </si>
  <si>
    <t>PASS(Producer)</t>
  </si>
  <si>
    <t xml:space="preserve">Pass </t>
  </si>
  <si>
    <t>“Saw your recent CNC OD Grinding Machine expansion and your continued investment in precision manufacturing capability.”</t>
  </si>
  <si>
    <t>Gurudatta CNC</t>
  </si>
  <si>
    <t>https://www.gurudattacnc.com/</t>
  </si>
  <si>
    <t>CNC Machining (segment C)</t>
  </si>
  <si>
    <t>Pravin Jagtap</t>
  </si>
  <si>
    <t>PASS (Manufactures in own infrastructure)</t>
  </si>
  <si>
    <t>“Interesting to see your focus on low-cost CNC retrofit solutions for small-scale manufacturers transitioning from manual machining.”</t>
  </si>
  <si>
    <t>Associated Manufacturing LLP</t>
  </si>
  <si>
    <t>https://associatedmanufacturing.in/</t>
  </si>
  <si>
    <t>Chakan, Pune</t>
  </si>
  <si>
    <t>Precision Auto Components &amp; Engineering (Basket C).</t>
  </si>
  <si>
    <t xml:space="preserve">Rs.50–150Cr </t>
  </si>
  <si>
    <t>Ashvin Bhogilal Shah (Founder), Dipen Ashvin Shah &amp; Rahul Ashvin Shah (Designated Partners — Gen-2)</t>
  </si>
  <si>
    <t>Pass (Manufactures in own infrastructure)</t>
  </si>
  <si>
    <t>Pass</t>
  </si>
  <si>
    <t>C- borderline</t>
  </si>
  <si>
    <t>"Building precision sheet metal components since 1979 with in-house tooling — one of Chakan's longest-running Tier 1 suppliers"</t>
  </si>
  <si>
    <t>PTI Engineering Technologies Pvt Ltd</t>
  </si>
  <si>
    <t>https://precisiontechindia.com/</t>
  </si>
  <si>
    <t>Rs.20–50Cr</t>
  </si>
  <si>
    <t>Pranav M Rungta</t>
  </si>
  <si>
    <t>Pass (2 plants in Chakan; own CNC/VMC machinery; in-house finishing operations)</t>
  </si>
  <si>
    <t>"One of the few Chakan precision manufacturers holding IATF + ZED + ISO 14001 simultaneously — a rare triple certification for a 25,000 sq ft operation"</t>
  </si>
  <si>
    <t>Anjali T. Precision</t>
  </si>
  <si>
    <t>anjalitprecision.com</t>
  </si>
  <si>
    <t>Pimpri-Chinchwad + Nighoje (Khed), Pune</t>
  </si>
  <si>
    <t>Precision Auto Components &amp; Engineering (Basket C)</t>
  </si>
  <si>
    <t>Rs 30-100 cr</t>
  </si>
  <si>
    <t>Dhanaji Ghorpade</t>
  </si>
  <si>
    <t>Pass (Multiple plants in Pune; Swiss (Tornos BT38) + Nakamura-tome machines; in-house multi-process manufacturing)</t>
  </si>
  <si>
    <t>B — Probable Federer</t>
  </si>
  <si>
    <t>"Recently added Tornos Swiss BT38 machines to serve Oerlikon Fairfield and Fiat — one of very few Pune shops investing in Swiss-grade turning for global Tier 1 OEM supply"</t>
  </si>
  <si>
    <t>SAP Parts Pvt Ltd</t>
  </si>
  <si>
    <t>https://www.sapparts.com/</t>
  </si>
  <si>
    <t>Sanaswadi, Pune</t>
  </si>
  <si>
    <t xml:space="preserve"> Rs.45–50Cr ($6M USD, 2025 estimate)</t>
  </si>
  <si>
    <t>Prasad Kulkarni</t>
  </si>
  <si>
    <t>Pass (In-house seal manufacturing facility, alloy casting foundry, design &amp; testing centre at Sanaswadi)</t>
  </si>
  <si>
    <t>"One of the few Indian SMEs in sealing solutions with a patented Centricast process and an in-house alloy foundry — supplying defence and construction OEMs globally since 2009"</t>
  </si>
  <si>
    <t>Zeal Precision Engineering India Pvt Ltd</t>
  </si>
  <si>
    <t>https://zealindustries.com/</t>
  </si>
  <si>
    <t>authorised capital Rs.1.65Cr; 40 employees</t>
  </si>
  <si>
    <t>NA</t>
  </si>
  <si>
    <t>Pass(In-house seal manufacturing facility, alloy casting foundry, design &amp; testing centre at Sanaswadi)</t>
  </si>
  <si>
    <t>D — Not ICP</t>
  </si>
  <si>
    <t>Proton Metalcrafts Pvt Ltd</t>
  </si>
  <si>
    <t>https://protonmetalcrafts.com/</t>
  </si>
  <si>
    <t>Kondhwa Budruk, Pune</t>
  </si>
  <si>
    <t>likely Rs.15–40Cr</t>
  </si>
  <si>
    <t>Gajanan Dattatraya Lupane (Founder, MD/CEO</t>
  </si>
  <si>
    <t>Pass(Own plant in Pune; 25 CNC/VMC machines; in-house manufacturing confirmed)</t>
  </si>
  <si>
    <t>A — Strong Federer</t>
  </si>
  <si>
    <t>"One of very few 60-person Pune shops holding AS9100:RevD certification for defence &amp; aerospace — with a Gen-2 director already active and a 20-year culture of performance management"</t>
  </si>
  <si>
    <t xml:space="preserve"> Span Precision Components Pvt Ltd</t>
  </si>
  <si>
    <t>https://span-engg.com/</t>
  </si>
  <si>
    <t>Pune</t>
  </si>
  <si>
    <t>Unknown — appears small (minimal web presence)</t>
  </si>
  <si>
    <t>Sandeep K. Pattani</t>
  </si>
  <si>
    <t>Pass(Own machinery (Tsugami sliding head automats); manufacturing clearly in-house)</t>
  </si>
  <si>
    <t>Aeromech Expert Machining Center Pvt Ltd</t>
  </si>
  <si>
    <t>https://aeromechexpert.com/</t>
  </si>
  <si>
    <t>Chikhali, Pune</t>
  </si>
  <si>
    <t>Pass(Own VMC/CNC facility at Chikhali; in-house manufacturing)</t>
  </si>
  <si>
    <t>MAN Truck &amp; Bus India</t>
  </si>
  <si>
    <t>https://www.mantruckandbusindia.com/en/homepage.html</t>
  </si>
  <si>
    <t>Pune,Maharashtra</t>
  </si>
  <si>
    <t>&gt;Rs 500cr</t>
  </si>
  <si>
    <t>Ashish Dugar</t>
  </si>
  <si>
    <t>Pass(Own engineering and manufacturing operations)</t>
  </si>
  <si>
    <t>Large multinational subsidiary (TRATON/Volkswagen), revenue exceeds threshold, not promoter-led</t>
  </si>
  <si>
    <t>Shreyash Solutions</t>
  </si>
  <si>
    <t>https://shreyashsolutions.com/</t>
  </si>
  <si>
    <t>Industrial Sensors &amp; Instrumentation (Basket B)</t>
  </si>
  <si>
    <t>B</t>
  </si>
  <si>
    <t>₹30–100 Cr</t>
  </si>
  <si>
    <t>Bharat B. Tagunde</t>
  </si>
  <si>
    <t>Pass(Manufactures indigenous sensors, electromechanical assemblies, PCB-integrated sensing systems in-house)</t>
  </si>
  <si>
    <t>I noticed Shreyash Solutions is building indigenous potentiometric sensor systems for aerospace and defense applications while maintaining DRDO and HAL vendor status — a rare capability-driven manufacturing moat in India's sensor ecosystem.”</t>
  </si>
  <si>
    <t>Aeron Systems Pvt. Ltd.</t>
  </si>
  <si>
    <t>aeronsystems.com</t>
  </si>
  <si>
    <t>Thermax Limited – Industrial Products Division</t>
  </si>
  <si>
    <t>https://www.thermaxglobal.com</t>
  </si>
  <si>
    <t>Chinchwad, Pune</t>
  </si>
  <si>
    <t>Heat exchangers, boilers, absorption cooling (Basket C)</t>
  </si>
  <si>
    <t>Rs.100–300 Cr (division est.; group &gt;Rs 500 Cr — target division)</t>
  </si>
  <si>
    <t>M.S. Unnikrishnan (MD &amp; CEO) / Meher Pudumjee (Chairperson)</t>
  </si>
  <si>
    <t>PASS (Own manufacturing at Chinchwad; in-house R&amp;D and engineering)</t>
  </si>
  <si>
    <t>PASS (HQ and manufacturing in Pune)</t>
  </si>
  <si>
    <t>Thermax pioneered vapour absorption machines in India and recently launched its EV thermal-management product line for electric buses — a rare pivot to new-energy segments from a 60-year-old capital goods manufacturer.</t>
  </si>
  <si>
    <t>Emcon Technologies India Pvt Ltd</t>
  </si>
  <si>
    <t>https://www.emcon.com</t>
  </si>
  <si>
    <t>Automotive exhaust &amp; emission-control systems (Basket C)</t>
  </si>
  <si>
    <t>Rs.100–300 Cr (est.)</t>
  </si>
  <si>
    <t>Plant Director / General Manager – Chakan</t>
  </si>
  <si>
    <t>PASS (Dedicated manufacturing plant at Chakan for exhaust components)</t>
  </si>
  <si>
    <t>PASS (Pune operations)</t>
  </si>
  <si>
    <t>Emcon's Chakan plant produces BS-VI-compliant catalytic converters and DPF systems for Tata Motors and Mahindra — directly benefiting from India's tightening emission norms that require emission aftertreatment on every new vehicle sold.</t>
  </si>
  <si>
    <t>Acuity Brands India (formerly Juno Lighting India)</t>
  </si>
  <si>
    <t>https://www.acuitybrands.com</t>
  </si>
  <si>
    <t>Ranjangaon MIDC, Pune</t>
  </si>
  <si>
    <t>LED lighting &amp; controls manufacturing (Basket C)</t>
  </si>
  <si>
    <t>Rs.30–100 Cr (est.)</t>
  </si>
  <si>
    <t>Country Manager / Factory Head – Pune</t>
  </si>
  <si>
    <t>PASS (Manufacturing at Ranjangaon MIDC; in-house PCB and luminaire assembly)</t>
  </si>
  <si>
    <t>PASS (Pune operations confirmed)</t>
  </si>
  <si>
    <t>Acuity's Ranjangaon facility produces intelligent LED fixtures for commercial and industrial clients and is expanding capacity to meet India's BEE star-rating LED adoption mandates — a government-driven demand tailwind.</t>
  </si>
  <si>
    <t>Kanchan Metals Pvt Ltd</t>
  </si>
  <si>
    <t>https://www.kanchanmetals.com</t>
  </si>
  <si>
    <t>Bhosari MIDC, Pune</t>
  </si>
  <si>
    <t>Precision investment castings – aerospace, defence, oil &amp; gas (Basket C)</t>
  </si>
  <si>
    <t>Rs.30–100 Cr (est. Rs.40–80 Cr)</t>
  </si>
  <si>
    <t>Rajiv Mhaiskar (Director)</t>
  </si>
  <si>
    <t>PASS (Own foundry at Bhosari MIDC; vacuum investment casting in-house)</t>
  </si>
  <si>
    <t>PASS (HQ Pune)</t>
  </si>
  <si>
    <t>Kanchan Metals operates one of Pune's few vacuum investment casting foundries supplying GE Aviation and Rolls-Royce MRO partners — making them a direct beneficiary of India's surging MRO and indigenous defence production push.</t>
  </si>
  <si>
    <t>Kalpa-Taru Power Transmission Ltd – Pune Unit</t>
  </si>
  <si>
    <t>https://www.kalpatarupower.com</t>
  </si>
  <si>
    <t>Transmission line towers &amp; substation structures (Basket C)</t>
  </si>
  <si>
    <t>Rs.100–300 Cr (Pune unit est.)</t>
  </si>
  <si>
    <t>Manish Mohnot (MD &amp; CEO, group) / Unit Head – Chakan</t>
  </si>
  <si>
    <t>PASS (Large fabrication plant at Chakan; in-house galvanising and painting)</t>
  </si>
  <si>
    <t>PASS (Pune unit)</t>
  </si>
  <si>
    <t>Kalpa-Taru's Chakan fabrication unit is scaling up to fulfil Rs.6,000 Cr+ in orders from PGCIL and state discoms for 765 kV transmission towers — a direct play on India's Rs.2.6 lakh-crore power transmission expansion plan.</t>
  </si>
  <si>
    <t>Cummins India Ltd – Engine Manufacturing</t>
  </si>
  <si>
    <t>https://www.cumminsindia.com</t>
  </si>
  <si>
    <t>Kothrud / Phaltan, Pune</t>
  </si>
  <si>
    <t>Industrial &amp; power-gen diesel/gas engines (Basket C)</t>
  </si>
  <si>
    <t>Rs.300–500 Cr (manufacturing entity est.; listed group &gt;Rs 500 Cr — target division)</t>
  </si>
  <si>
    <t>Ashwath Ram (MD &amp; CEO)</t>
  </si>
  <si>
    <t>PASS (Engine assembly plants at Kothrud and Phaltan; in-house machining and testing)</t>
  </si>
  <si>
    <t>Cummins India's Phaltan plant recently launched its first hydrogen-ready 15L engine for Indian railways and industrial clients — a technically differentiated milestone that positions the Pune operation at the forefront of India's alternate-fuel transition.</t>
  </si>
  <si>
    <t>Thyssenkrupp Electrical Steel India Pvt Ltd</t>
  </si>
  <si>
    <t>https://www.thyssenkrupp-steel.com</t>
  </si>
  <si>
    <t>Nashik Road, Pune region</t>
  </si>
  <si>
    <t>Grain-oriented electrical steel (GOES) for transformers (Basket C)</t>
  </si>
  <si>
    <t>Plant Director – India</t>
  </si>
  <si>
    <t>PASS (Slitting and processing plant for GOES near Pune; downstream transformer-grade steel processing)</t>
  </si>
  <si>
    <t>PASS (Maharashtra operations)</t>
  </si>
  <si>
    <t>Thyssenkrupp's India GOES facility is the primary domestic supplier of grain-oriented electrical steel used in power transformers — a critical input that India is pushing to domesticate under the PLI scheme for transformers.</t>
  </si>
  <si>
    <t>Alfa Laval India Ltd – Pune Manufacturing</t>
  </si>
  <si>
    <t>https://www.alfalaval.in</t>
  </si>
  <si>
    <t>Pirangut, Pune</t>
  </si>
  <si>
    <t>Heat transfer, separation &amp; fluid handling equipment (Basket C)</t>
  </si>
  <si>
    <t>Rs.100–300 Cr (Pune unit est.; group &gt;Rs 500 Cr — target unit)</t>
  </si>
  <si>
    <t>Neeraj Sharma (MD, India) / Plant Head – Pirangut</t>
  </si>
  <si>
    <t>PASS (Heat exchanger and separator manufacturing at Pirangut, Pune)</t>
  </si>
  <si>
    <t>PASS (Pune manufacturing HQ)</t>
  </si>
  <si>
    <t>Alfa Laval's Pirangut plant manufactures plate heat exchangers for India's dairy, pharma and energy sectors and recently added capacity for waste-heat-recovery units supporting industrial decarbonisation mandates.</t>
  </si>
  <si>
    <t>Atlas Copco India Ltd – Pune Compressor Plant</t>
  </si>
  <si>
    <t>https://www.atlascopco.com/en-in</t>
  </si>
  <si>
    <t>Dapodi, Pune</t>
  </si>
  <si>
    <t>Air compressors, vacuum pumps &amp; industrial tools (Basket C)</t>
  </si>
  <si>
    <t>Rs.100–300 Cr (Pune plant est.)</t>
  </si>
  <si>
    <t>Geert Follens (President, India) / Plant Manager – Dapodi</t>
  </si>
  <si>
    <t>PASS (Air compressor assembly and service plant at Dapodi, Pune; in-house testing and quality)</t>
  </si>
  <si>
    <t>Atlas Copco's Dapodi plant recently introduced oil-free VSD+ compressors certified for pharmaceutical GMP environments — a product directly aligned with India's 'Pharma Vision 2047' push for high-compliance domestic manufacturing.</t>
  </si>
  <si>
    <t>Forbes Marshall Pvt Ltd</t>
  </si>
  <si>
    <t>https://www.forbesmarshall.com</t>
  </si>
  <si>
    <t>Kasarwadi, Pune</t>
  </si>
  <si>
    <t>Steam engineering, energy efficiency &amp; process instrumentation (Basket C)</t>
  </si>
  <si>
    <t>Rs.200–400 Cr (est.)</t>
  </si>
  <si>
    <t>Naushad Forbes (Co-Chairman) / Farhad Forbes (Co-Chairman)</t>
  </si>
  <si>
    <t>PASS (Own manufacturing plants at Kasarwadi for steam traps, control valves, process instruments)</t>
  </si>
  <si>
    <t>Forbes Marshall recently launched its EMS (Energy Management System) 4.0 platform integrating real-time steam leakage diagnostics — a SaaS-layer on top of their hardware that is helping Indian process industries cut energy costs by 20–30%.</t>
  </si>
  <si>
    <t>Company name</t>
  </si>
  <si>
    <t>Website</t>
  </si>
  <si>
    <t>City / Location</t>
  </si>
  <si>
    <t>Pune/maharashtra</t>
  </si>
  <si>
    <t>Segment</t>
  </si>
  <si>
    <t>What they make</t>
  </si>
  <si>
    <t>CNC plasma and gas cutting systems</t>
  </si>
  <si>
    <t>Revenue band (estimate)</t>
  </si>
  <si>
    <t xml:space="preserve">&lt;Rs.30Cr </t>
  </si>
  <si>
    <t>Decision-maker</t>
  </si>
  <si>
    <t>E1: Producer</t>
  </si>
  <si>
    <t>PASS * Own manufacturing facility in Hadapsar industrial area</t>
  </si>
  <si>
    <t>E2: Accessible</t>
  </si>
  <si>
    <t>PASS  * HQ and operations are in Pune</t>
  </si>
  <si>
    <t>Criterion C3</t>
  </si>
  <si>
    <t>20 * Capability moat is real and difficult to replicate.</t>
  </si>
  <si>
    <t>Criterion C4</t>
  </si>
  <si>
    <t xml:space="preserve">   8 *   Vinoo Chari associated with Fabgear (*no visible structured expansion strategy,no IIT/PhD/scientist pedigree found)</t>
  </si>
  <si>
    <t>Criterion C5</t>
  </si>
  <si>
    <t xml:space="preserve">  15*  Their customer base aligns with India's capex cycle.</t>
  </si>
  <si>
    <t>Criterion C6</t>
  </si>
  <si>
    <t xml:space="preserve">   8 *  Signal 1 — Active Website &amp; LinkedIn → YES, Signal 2 — Facility Expansion → NOT FOUND, Signal 3 — Hiring → WEAK, Signal 4 — Certifications → PARTIAL,Signal 5 — Financial growth/export → PARTIAL</t>
  </si>
  <si>
    <t>Criterion C7</t>
  </si>
  <si>
    <t xml:space="preserve">  15 * 26+ years in Indian capital equipment manufacturing is itself a systems indicator.</t>
  </si>
  <si>
    <t>Criterion C8</t>
  </si>
  <si>
    <t xml:space="preserve">  5 * Could still exist privately — but no evidence.</t>
  </si>
  <si>
    <t>Overall Federer Score</t>
  </si>
  <si>
    <t>71/100</t>
  </si>
  <si>
    <t>Overall verdict</t>
  </si>
  <si>
    <t>B-Probable Federer</t>
  </si>
  <si>
    <t>Personalization hook</t>
  </si>
  <si>
    <t>One specific, true, recent detail about this company that could be used in line 1 of an outreach email</t>
  </si>
  <si>
    <t>PASS * Website shows CNC turning, grinding, machining infrastructure and in-house manufacturing capability.</t>
  </si>
  <si>
    <t>10/20 * Precision CNC machining and micron tolerances indicate technical capability, but no patents, DSIR, proprietary tech, or certifications visible.</t>
  </si>
  <si>
    <t xml:space="preserve">   8/15 *  No visible evidence of IIT/PhD/scientific founder or systems-led leadership infrastructure.</t>
  </si>
  <si>
    <t xml:space="preserve">  15/15*  Precision engineering and automotive manufacturing benefit from Make-in-India and China+1 manufacturing tailwinds.</t>
  </si>
  <si>
    <t xml:space="preserve">   15/15 *  Hiring posts + recent CNC machine addition + active LinkedIn presence + customer references.</t>
  </si>
  <si>
    <t xml:space="preserve">  8/15  *ISO/TUV certifications and quality engineering hiring imply process systems, though no SAP/ERP confirmation.</t>
  </si>
  <si>
    <t>65/100</t>
  </si>
  <si>
    <t>"Saw your recent CNC OD Grinding Machine expansion and your continued investment in precision manufacturing capability.”</t>
  </si>
  <si>
    <t>CNC Lathe Machine, CNC Controller &amp; CNC Retrofit Machine, Retrofit Lathe Machine, CNC Retrofit Kit, CNC Retrofit Machine, CNC Trainer Machine, CNC Controller, SPM Milling Machine, SPM Drilling Machine, Low Cost Retrofit Kit, Heavy Duty CNC Lathe, SPM Turning Machine, Fanuc CNC Controller, Delta CNC Controller, VMC Machine, CNC Plano Milling Machine, Mach3 CNC Controller, CNC Mill Machine Supplier, and College Trainer CNC Machine</t>
  </si>
  <si>
    <t>&lt; Rs.30Cr (public turnover listing suggests ~₹40L–1.5Cr, though likely understated/older)</t>
  </si>
  <si>
    <t>Pravin Jagtap — Founder/Director; background in CNC machining, production development, and customer job development.</t>
  </si>
  <si>
    <t>PASS * Manufactures CNC machines, retrofit kits, and SPMs with own infrastructure.</t>
  </si>
  <si>
    <t>PASS  * HQ and operations are in Pune.</t>
  </si>
  <si>
    <t>10/20 * CNC retrofit specialization and low-cost CNC solutions for SMEs show technical capability differentiation, but no patents/DSIR/global certifications found</t>
  </si>
  <si>
    <t xml:space="preserve">   10/15 *  Founder has hands-on CNC production and development experience; however no visible IIT/PhD/formal systems leadership evidence.</t>
  </si>
  <si>
    <t xml:space="preserve">  15/15*CNC automation and industrial retrofitting benefit from Make-in-India, MSME automation demand, and manufacturing modernization tailwinds.</t>
  </si>
  <si>
    <t xml:space="preserve">   8/15 *Active LinkedIn presence, expanded product catalog, CNC/VMC offerings, and incorporation into private limited structure in recent years</t>
  </si>
  <si>
    <t xml:space="preserve">  8/15  *ISO/TUV certifications and quality engineering hiring imply process systems, though no SAP/ERP confirmation.Not hiring currently.</t>
  </si>
  <si>
    <t xml:space="preserve">  10/15 * Multiple directors visible (Pravin Jagtap, Varsha Jagtap), but Gen-2/professionalized management structure remains unclear.</t>
  </si>
  <si>
    <t>61/100</t>
  </si>
  <si>
    <t>Field</t>
  </si>
  <si>
    <t>Details</t>
  </si>
  <si>
    <t>Company Name</t>
  </si>
  <si>
    <t>associatedmanufacturing.in</t>
  </si>
  <si>
    <t>Precision sheet metal components; in-house tooling &amp; fixture design; turnkey press manufacturing (35–45 presses, 50T–630T)</t>
  </si>
  <si>
    <t>Revenue Band</t>
  </si>
  <si>
    <t>Rs.50–150Cr (EasyLeadz estimate)</t>
  </si>
  <si>
    <t>Decision-Maker</t>
  </si>
  <si>
    <t>Eligibility Gates</t>
  </si>
  <si>
    <t>Gate</t>
  </si>
  <si>
    <t>Result</t>
  </si>
  <si>
    <t>Evidence</t>
  </si>
  <si>
    <t>E1 — Producer</t>
  </si>
  <si>
    <t>PASS</t>
  </si>
  <si>
    <t>1,00,000 sq ft plant at Chakan; own press facility; in-house tooling</t>
  </si>
  <si>
    <t>E2 — Accessible</t>
  </si>
  <si>
    <t>Operational HQ at Chakan, Pun</t>
  </si>
  <si>
    <t>Criterion Scoring</t>
  </si>
  <si>
    <t>Criterion</t>
  </si>
  <si>
    <t>Weight</t>
  </si>
  <si>
    <t>Score</t>
  </si>
  <si>
    <t>C3 — Differentiated</t>
  </si>
  <si>
    <t>Moderate (10)</t>
  </si>
  <si>
    <t>IATF 16949 certified; in-house tooling design is a real capability moat. But no patents, no DSIR, no specialized German/Swiss machines mentioned, no proprietary products</t>
  </si>
  <si>
    <t>C4 — Decision-Maker Quality</t>
  </si>
  <si>
    <t>Moderate (8)</t>
  </si>
  <si>
    <t>No IIT/PhD found. Three-person LLP structure (father + 2 sons) shows generational involvement, but no ERP/SAP or systems-thinking evidence publicly visible</t>
  </si>
  <si>
    <t>C5 — Growing Sector</t>
  </si>
  <si>
    <t>Strong (15)</t>
  </si>
  <si>
    <t>Auto components + China+1 + Make-in-India + PLI for auto sector; sheet metal for EV bodies is a direct tailwind</t>
  </si>
  <si>
    <t>C6 — Growth Signals</t>
  </si>
  <si>
    <t>Active LinkedIn + website, filings current to Dec 2024. But no new facility announcement, no hiring spike, no expansion news found</t>
  </si>
  <si>
    <t>C7 — Systems Maturity</t>
  </si>
  <si>
    <t>Weak (0)</t>
  </si>
  <si>
    <t>IATF 16949 shows quality systems. But zero evidence of SAP/ERP, digital infrastructure, or MIS. "State-of-the-art software" mentioned but not named — not scoreable</t>
  </si>
  <si>
    <t>C8 — Leadership Succession</t>
  </si>
  <si>
    <t>Dipen &amp; Rahul Ashvin Shah listed as designated partners on MCA — Gen-2 formally on record. Multi-person structure</t>
  </si>
  <si>
    <t>Final score</t>
  </si>
  <si>
    <t>56/100</t>
  </si>
  <si>
    <t>verdict</t>
  </si>
  <si>
    <t>C — Borderline</t>
  </si>
  <si>
    <t>Hook</t>
  </si>
  <si>
    <t>Accurate Gauging &amp; Instruments Pvt. Ltd. (AGI)</t>
  </si>
  <si>
    <t>https://accuratesales.co.in/</t>
  </si>
  <si>
    <t>Pune, Maharashtra</t>
  </si>
  <si>
    <t>Rs 30-100cr</t>
  </si>
  <si>
    <t>Pass(Manufactures precision measuring instruments, gauges, and inspection systems in-house from Pune facility.)</t>
  </si>
  <si>
    <t>Ashok Bhalerao (Founder &amp; Managing Director)</t>
  </si>
  <si>
    <t>"I noticed AGI has built a strong niche in precision gauging and metrology solutions, enabling manufacturers to maintain world-class dimensional accuracy through custom-engineered inspection systems — a capability few Indian firms have developed at this depth."</t>
  </si>
  <si>
    <t>Objective:</t>
  </si>
  <si>
    <t>Identify promoter-led Indian manufacturing companies that fit DeepThought's execution consulting model by applying the Eligibility Gates (Producer and Accessible) and the Federer Scoring Framework.</t>
  </si>
  <si>
    <t>Research Outcome:</t>
  </si>
  <si>
    <t>Total companies profiled: 25</t>
  </si>
  <si>
    <t>Geography focus: Pune and other Indian manufacturing hubs</t>
  </si>
  <si>
    <t>Industries covered:</t>
  </si>
  <si>
    <t>Industrial Sensors &amp; Instrumentation</t>
  </si>
  <si>
    <t>Precision Engineering &amp; CNC Manufacturing</t>
  </si>
  <si>
    <t>Specialty Chemicals</t>
  </si>
  <si>
    <t>Aerospace &amp; Defence Components</t>
  </si>
  <si>
    <t>Industrial Automation</t>
  </si>
  <si>
    <t>Technical Manufacturing</t>
  </si>
  <si>
    <t>Key Observations:</t>
  </si>
  <si>
    <t>1. Companies with the highest Federer scores demonstrated strong capability-based differentiation, structured operational systems, and evidence of process maturity.</t>
  </si>
  <si>
    <t>2. Industrial instrumentation, defence-linked manufacturing, and precision engineering companies produced the strongest overall fit.</t>
  </si>
  <si>
    <t>3. Systems maturity (ERP, quality systems, ISO certifications, structured workflows) was a major differentiator between high-scoring and low-scoring companies.</t>
  </si>
  <si>
    <t>4. Several operationally sophisticated companies were excluded because they were subsidiaries of large multinational groups or exceeded the revenue threshold.</t>
  </si>
  <si>
    <t>Common Success Factors:</t>
  </si>
  <si>
    <t>Proprietary manufacturing capabilities</t>
  </si>
  <si>
    <t>Engineering-led leadership</t>
  </si>
  <si>
    <t>ISO-certified operations</t>
  </si>
  <si>
    <t>Export orientation</t>
  </si>
  <si>
    <t>Structured production and quality processes</t>
  </si>
  <si>
    <t>Growing end markets supported by Make-in-India and industrial automation trends</t>
  </si>
  <si>
    <t>Conclusion:</t>
  </si>
  <si>
    <t>The final list represents companies with operational complexity, technical differentiation, and organizational maturity that align closely with DeepThought's target customer profile. These companies are likely to benefit from structured execution systems, operational diagnostics, and accountability frameworks.</t>
  </si>
  <si>
    <t>Deep Thought Target Company Research – Executive Summary</t>
  </si>
  <si>
    <t>"Fail List"</t>
  </si>
  <si>
    <t>Company</t>
  </si>
  <si>
    <t>Reason</t>
  </si>
  <si>
    <t>Subsidiary of TRATON Group, revenue &gt; ₹500 Cr</t>
  </si>
  <si>
    <t>Cummins India</t>
  </si>
  <si>
    <t>Large listed multinational</t>
  </si>
  <si>
    <t>Atlas Copco</t>
  </si>
  <si>
    <t>Global parent-owned subsidiary</t>
  </si>
  <si>
    <t>Alfa Laval</t>
  </si>
  <si>
    <t>Multinational subsidiary</t>
  </si>
  <si>
    <t>Thermax</t>
  </si>
  <si>
    <t>Revenue above threshold</t>
  </si>
  <si>
    <t>₹30–100 Cr (estimated)</t>
  </si>
  <si>
    <t>Ashvani Shukla and Abhijeet Bokil</t>
  </si>
  <si>
    <t>Pass(Manufactures indigenous inertial navigation systems, motion sensors, weather stations and IoT hardware products.)</t>
  </si>
  <si>
    <t xml:space="preserve">"I noticed Aeron has deployed over 10,000 indigenous inertial sensors and navigation systems while building aerospace-grade products certified under AS9100 and military airworthiness standards—a rare capability for an Indian deep-tech manufacturer."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</si>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</sst>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1"/>
      <color theme="1"/>
      <name val="Calibri"/>
      <family val="2"/>
      <charset val="1"/>
    </font>
    <font>
      <b/>
      <sz val="11"/>
      <color theme="1"/>
      <name val="Calibri"/>
      <family val="2"/>
      <charset val="1"/>
    </font>
    <font>
      <b/>
      <sz val="11"/>
      <color theme="7" tint="-0.499984740745262"/>
      <name val="Calibri"/>
      <family val="2"/>
      <charset val="1"/>
    </font>
    <font>
      <u/>
      <sz val="11"/>
      <color theme="10"/>
      <name val="Calibri"/>
      <family val="2"/>
      <charset val="1"/>
    </font>
    <font>
      <sz val="10"/>
      <name val="Segoe UI"/>
      <family val="2"/>
      <charset val="1"/>
    </font>
    <font>
      <sz val="10"/>
      <color theme="1"/>
      <name val="Segoe UI"/>
      <family val="2"/>
      <charset val="1"/>
    </font>
    <font>
      <sz val="10"/>
      <color theme="1" tint="4.9897762993255407E-2"/>
      <name val="Segoe UI"/>
      <family val="2"/>
      <charset val="1"/>
    </font>
    <font>
      <sz val="11"/>
      <color rgb="FF9C0006"/>
      <name val="Calibri"/>
      <family val="2"/>
      <charset val="1"/>
    </font>
    <font>
      <sz val="11"/>
      <color rgb="FF006100"/>
      <name val="Calibri"/>
      <family val="2"/>
      <charset val="1"/>
    </font>
    <font>
      <sz val="10"/>
      <color rgb="FF0A1015"/>
      <name val="Arial"/>
      <family val="2"/>
      <charset val="1"/>
    </font>
    <font>
      <b/>
      <sz val="10"/>
      <color theme="7" tint="-0.499984740745262"/>
      <name val="Georgia"/>
      <family val="1"/>
      <charset val="1"/>
    </font>
    <font>
      <u/>
      <sz val="11"/>
      <color rgb="FF0563C1"/>
      <name val="Cambria"/>
      <charset val="1"/>
    </font>
    <font>
      <sz val="11"/>
      <name val="Cambria"/>
      <charset val="1"/>
    </font>
    <font>
      <sz val="10"/>
      <name val="Cambria"/>
      <charset val="1"/>
    </font>
    <font>
      <sz val="11"/>
      <color theme="1" tint="4.9897762993255407E-2"/>
      <name val="Calibri"/>
      <family val="2"/>
      <charset val="1"/>
    </font>
    <font>
      <b/>
      <sz val="10"/>
      <color theme="1" tint="4.9897762993255407E-2"/>
      <name val="Segoe UI"/>
      <family val="2"/>
      <charset val="1"/>
    </font>
    <font>
      <b/>
      <sz val="10"/>
      <color rgb="FF00B050"/>
      <name val="Segoe UI"/>
      <family val="2"/>
      <charset val="1"/>
    </font>
    <font>
      <sz val="14"/>
      <color theme="1"/>
      <name val="Segoe UI"/>
      <family val="2"/>
      <charset val="1"/>
    </font>
    <font>
      <b/>
      <sz val="12"/>
      <color theme="1"/>
      <name val="Calibri"/>
      <family val="2"/>
      <charset val="1"/>
    </font>
    <font>
      <b/>
      <sz val="11"/>
      <color rgb="FF00B050"/>
      <name val="Calibri"/>
      <family val="2"/>
      <charset val="1"/>
    </font>
    <font>
      <sz val="11"/>
      <color rgb="FF006100"/>
      <name val="Calibri"/>
      <family val="2"/>
      <scheme val="minor"/>
    </font>
    <font>
      <sz val="11"/>
      <color rgb="FF9C0006"/>
      <name val="Calibri"/>
      <family val="2"/>
      <scheme val="minor"/>
    </font>
    <font>
      <sz val="11"/>
      <color rgb="FF9C6500"/>
      <name val="Calibri"/>
      <family val="2"/>
      <scheme val="minor"/>
    </font>
    <font>
      <b/>
      <sz val="11"/>
      <color theme="1"/>
      <name val="Calibri"/>
      <family val="2"/>
    </font>
    <font>
      <sz val="11"/>
      <name val="Cambria"/>
      <family val="1"/>
    </font>
    <font>
      <sz val="10"/>
      <name val="Cambria"/>
      <family val="1"/>
    </font>
    <font>
      <b/>
      <sz val="11"/>
      <color theme="7" tint="-0.499984740745262"/>
      <name val="Cambria"/>
      <family val="1"/>
    </font>
    <font>
      <b/>
      <sz val="11"/>
      <color theme="7" tint="-0.499984740745262"/>
      <name val="Calibri"/>
      <family val="2"/>
    </font>
    <font>
      <b/>
      <sz val="9"/>
      <color theme="7" tint="-0.499984740745262"/>
      <name val="Segoe UI"/>
      <family val="2"/>
      <charset val="1"/>
    </font>
    <font>
      <b/>
      <sz val="10"/>
      <color theme="7" tint="-0.499984740745262"/>
      <name val="Segoe UI"/>
      <family val="2"/>
      <charset val="1"/>
    </font>
    <font>
      <b/>
      <sz val="11"/>
      <color theme="4"/>
      <name val="Calibri"/>
      <family val="2"/>
    </font>
    <font>
      <b/>
      <sz val="11"/>
      <color rgb="FF9C0006"/>
      <name val="Calibri"/>
      <family val="2"/>
      <scheme val="minor"/>
    </font>
  </fonts>
  <fills count="8">
    <fill>
      <patternFill patternType="none"/>
    </fill>
    <fill>
      <patternFill patternType="gray125"/>
    </fill>
    <fill>
      <patternFill patternType="solid">
        <fgColor rgb="FFFFC7CE"/>
        <bgColor rgb="FFCCCCFF"/>
      </patternFill>
    </fill>
    <fill>
      <patternFill patternType="solid">
        <fgColor rgb="FFC6EFCE"/>
        <bgColor rgb="FFCCFFFF"/>
      </patternFill>
    </fill>
    <fill>
      <patternFill patternType="solid">
        <fgColor theme="0"/>
        <bgColor rgb="FFFFFFCC"/>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7">
    <xf numFmtId="0" fontId="0" fillId="0" borderId="0"/>
    <xf numFmtId="0" fontId="22" fillId="7" borderId="0" applyNumberFormat="0" applyBorder="0" applyAlignment="0" applyProtection="0"/>
    <xf numFmtId="0" fontId="21" fillId="6" borderId="0" applyNumberFormat="0" applyBorder="0" applyAlignment="0" applyProtection="0"/>
    <xf numFmtId="0" fontId="20" fillId="5" borderId="0" applyNumberFormat="0" applyBorder="0" applyAlignment="0" applyProtection="0"/>
    <xf numFmtId="0" fontId="3" fillId="0" borderId="0"/>
    <xf numFmtId="0" fontId="7" fillId="2" borderId="0"/>
    <xf numFmtId="0" fontId="8" fillId="3" borderId="0"/>
  </cellStyleXfs>
  <cellXfs count="48">
    <xf numFmtId="0" fontId="0" fillId="0" borderId="0" xfId="0"/>
    <xf numFmtId="0" fontId="1" fillId="0" borderId="0" xfId="0" applyFont="1"/>
    <xf numFmtId="0" fontId="2" fillId="0" borderId="0" xfId="0" applyFont="1"/>
    <xf numFmtId="0" fontId="3" fillId="0" borderId="0" xfId="4" applyFont="1"/>
    <xf numFmtId="0" fontId="0" fillId="0" borderId="0" xfId="0" applyFont="1"/>
    <xf numFmtId="0" fontId="4" fillId="0" borderId="0" xfId="0" applyFont="1"/>
    <xf numFmtId="0" fontId="5" fillId="0" borderId="0" xfId="0" applyFont="1"/>
    <xf numFmtId="0" fontId="6" fillId="4" borderId="1" xfId="0" applyFont="1" applyFill="1" applyBorder="1" applyAlignment="1">
      <alignment horizontal="left" vertical="center" wrapText="1" indent="1"/>
    </xf>
    <xf numFmtId="0" fontId="2" fillId="0" borderId="0" xfId="0" applyFont="1" applyAlignment="1">
      <alignment vertical="center" wrapText="1"/>
    </xf>
    <xf numFmtId="0" fontId="3" fillId="0" borderId="0" xfId="4" applyFont="1" applyAlignment="1">
      <alignment vertical="center" wrapText="1"/>
    </xf>
    <xf numFmtId="0" fontId="0" fillId="0" borderId="0" xfId="0" applyFont="1" applyAlignment="1">
      <alignment vertical="center" wrapText="1"/>
    </xf>
    <xf numFmtId="0" fontId="7" fillId="2" borderId="0" xfId="5" applyFont="1"/>
    <xf numFmtId="0" fontId="8" fillId="3" borderId="0" xfId="6"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4" borderId="0" xfId="0" applyFont="1" applyFill="1"/>
    <xf numFmtId="0" fontId="6" fillId="4" borderId="1" xfId="0" applyFont="1" applyFill="1" applyBorder="1" applyAlignment="1">
      <alignment horizontal="center" vertical="center" wrapText="1"/>
    </xf>
    <xf numFmtId="0" fontId="15" fillId="4" borderId="1" xfId="0" applyFont="1" applyFill="1" applyBorder="1" applyAlignment="1">
      <alignment horizontal="left" vertical="center" wrapText="1" indent="1"/>
    </xf>
    <xf numFmtId="0" fontId="3" fillId="4" borderId="1" xfId="4" applyFont="1" applyFill="1" applyBorder="1" applyAlignment="1">
      <alignment horizontal="left" vertical="center" wrapText="1" indent="1"/>
    </xf>
    <xf numFmtId="0" fontId="14" fillId="4" borderId="1" xfId="0" applyFont="1" applyFill="1" applyBorder="1"/>
    <xf numFmtId="0" fontId="16" fillId="4" borderId="1" xfId="0" applyFont="1" applyFill="1" applyBorder="1" applyAlignment="1">
      <alignment horizontal="left" vertical="center" wrapText="1" indent="1"/>
    </xf>
    <xf numFmtId="0" fontId="17"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8" fillId="0" borderId="0" xfId="0" applyFont="1" applyAlignment="1">
      <alignment vertical="center"/>
    </xf>
    <xf numFmtId="0" fontId="19" fillId="0" borderId="0" xfId="0" applyFont="1" applyAlignment="1">
      <alignment vertical="center" wrapText="1"/>
    </xf>
    <xf numFmtId="0" fontId="23" fillId="0" borderId="0" xfId="0" applyFont="1"/>
    <xf numFmtId="0" fontId="3" fillId="0" borderId="0" xfId="4"/>
    <xf numFmtId="0" fontId="0" fillId="0" borderId="0" xfId="0" applyAlignment="1">
      <alignment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applyAlignment="1">
      <alignment vertical="center" wrapText="1"/>
    </xf>
    <xf numFmtId="0" fontId="29" fillId="0" borderId="0" xfId="0" applyFont="1" applyAlignment="1">
      <alignment vertical="center" wrapText="1"/>
    </xf>
    <xf numFmtId="0" fontId="20" fillId="5" borderId="0" xfId="3"/>
    <xf numFmtId="0" fontId="22" fillId="7" borderId="0" xfId="1"/>
    <xf numFmtId="0" fontId="0" fillId="0" borderId="0" xfId="0" applyAlignment="1">
      <alignment horizontal="left" vertical="center" indent="1"/>
    </xf>
    <xf numFmtId="0" fontId="0" fillId="0" borderId="0" xfId="0" applyAlignment="1">
      <alignment horizontal="left" vertical="center" indent="2"/>
    </xf>
    <xf numFmtId="0" fontId="30" fillId="0" borderId="0" xfId="0" applyFont="1"/>
    <xf numFmtId="0" fontId="31" fillId="6" borderId="0" xfId="2" applyFont="1"/>
    <xf numFmtId="0" fontId="21" fillId="6" borderId="0" xfId="2" applyAlignment="1">
      <alignment vertical="center" wrapText="1"/>
    </xf>
    <xf numFmtId="0" fontId="0" fillId="0" borderId="1" xfId="0" applyFont="1" applyBorder="1"/>
    <xf numFmtId="0" fontId="6" fillId="4" borderId="0" xfId="0" applyFont="1" applyFill="1" applyBorder="1" applyAlignment="1">
      <alignment horizontal="left" vertical="center" wrapText="1" indent="1"/>
    </xf>
    <xf numFmtId="0" fontId="0" fillId="0" borderId="0" xfId="0" applyFont="1" applyBorder="1"/>
  </cellXfs>
  <cellStyles count="7">
    <cellStyle name="Bad" xfId="2" builtinId="27"/>
    <cellStyle name="Excel Built-in Bad" xfId="5"/>
    <cellStyle name="Excel Built-in Good" xfId="6"/>
    <cellStyle name="Good" xfId="3" builtinId="26"/>
    <cellStyle name="Hyperlink" xfId="4" builtinId="8"/>
    <cellStyle name="Neutral" xfId="1" builtinId="2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6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00B050"/>
      <rgbColor rgb="FF0A1015"/>
      <rgbColor rgb="FF0D0D0D"/>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in/dhanaji-ghorpade-a7415118a/" TargetMode="External"/><Relationship Id="rId13" Type="http://schemas.openxmlformats.org/officeDocument/2006/relationships/hyperlink" Target="https://span-engg.com/" TargetMode="External"/><Relationship Id="rId18" Type="http://schemas.openxmlformats.org/officeDocument/2006/relationships/hyperlink" Target="https://aeronsystems.com/" TargetMode="External"/><Relationship Id="rId26" Type="http://schemas.openxmlformats.org/officeDocument/2006/relationships/hyperlink" Target="https://www.alfalaval.in/" TargetMode="External"/><Relationship Id="rId3" Type="http://schemas.openxmlformats.org/officeDocument/2006/relationships/hyperlink" Target="https://www.gurudattacnc.com/" TargetMode="External"/><Relationship Id="rId21" Type="http://schemas.openxmlformats.org/officeDocument/2006/relationships/hyperlink" Target="https://www.acuitybrands.com/" TargetMode="External"/><Relationship Id="rId7" Type="http://schemas.openxmlformats.org/officeDocument/2006/relationships/hyperlink" Target="anjalitprecision.com" TargetMode="External"/><Relationship Id="rId12" Type="http://schemas.openxmlformats.org/officeDocument/2006/relationships/hyperlink" Target="https://protonmetalcrafts.com/" TargetMode="External"/><Relationship Id="rId17" Type="http://schemas.openxmlformats.org/officeDocument/2006/relationships/hyperlink" Target="https://shreyashsolutions.com/" TargetMode="External"/><Relationship Id="rId25" Type="http://schemas.openxmlformats.org/officeDocument/2006/relationships/hyperlink" Target="https://www.thyssenkrupp-steel.com/" TargetMode="External"/><Relationship Id="rId2" Type="http://schemas.openxmlformats.org/officeDocument/2006/relationships/hyperlink" Target="https://eliteengineeringco.in/" TargetMode="External"/><Relationship Id="rId16" Type="http://schemas.openxmlformats.org/officeDocument/2006/relationships/hyperlink" Target="https://www.linkedin.com/in/ashish-dugar-66004b15/" TargetMode="External"/><Relationship Id="rId20" Type="http://schemas.openxmlformats.org/officeDocument/2006/relationships/hyperlink" Target="https://www.emcon.com/" TargetMode="External"/><Relationship Id="rId29" Type="http://schemas.openxmlformats.org/officeDocument/2006/relationships/hyperlink" Target="https://accuratesales.co.in/" TargetMode="External"/><Relationship Id="rId1" Type="http://schemas.openxmlformats.org/officeDocument/2006/relationships/hyperlink" Target="https://www.indiamart.com/fabgearcorporation/" TargetMode="External"/><Relationship Id="rId6" Type="http://schemas.openxmlformats.org/officeDocument/2006/relationships/hyperlink" Target="https://www.linkedin.com/in/pmrungta/" TargetMode="External"/><Relationship Id="rId11" Type="http://schemas.openxmlformats.org/officeDocument/2006/relationships/hyperlink" Target="https://zealindustries.com/" TargetMode="External"/><Relationship Id="rId24" Type="http://schemas.openxmlformats.org/officeDocument/2006/relationships/hyperlink" Target="https://www.cumminsindia.com/" TargetMode="External"/><Relationship Id="rId5" Type="http://schemas.openxmlformats.org/officeDocument/2006/relationships/hyperlink" Target="https://precisiontechindia.com/" TargetMode="External"/><Relationship Id="rId15" Type="http://schemas.openxmlformats.org/officeDocument/2006/relationships/hyperlink" Target="https://www.mantruckandbusindia.com/en/homepage.html" TargetMode="External"/><Relationship Id="rId23" Type="http://schemas.openxmlformats.org/officeDocument/2006/relationships/hyperlink" Target="https://www.kalpatarupower.com/" TargetMode="External"/><Relationship Id="rId28" Type="http://schemas.openxmlformats.org/officeDocument/2006/relationships/hyperlink" Target="https://www.forbesmarshall.com/" TargetMode="External"/><Relationship Id="rId10" Type="http://schemas.openxmlformats.org/officeDocument/2006/relationships/hyperlink" Target="https://www.linkedin.com/in/prasad-kulkarni-3aaa502/" TargetMode="External"/><Relationship Id="rId19" Type="http://schemas.openxmlformats.org/officeDocument/2006/relationships/hyperlink" Target="https://www.thermaxglobal.com/" TargetMode="External"/><Relationship Id="rId4" Type="http://schemas.openxmlformats.org/officeDocument/2006/relationships/hyperlink" Target="https://associatedmanufacturing.in/" TargetMode="External"/><Relationship Id="rId9" Type="http://schemas.openxmlformats.org/officeDocument/2006/relationships/hyperlink" Target="https://www.sapparts.com/" TargetMode="External"/><Relationship Id="rId14" Type="http://schemas.openxmlformats.org/officeDocument/2006/relationships/hyperlink" Target="https://aeromechexpert.com/" TargetMode="External"/><Relationship Id="rId22" Type="http://schemas.openxmlformats.org/officeDocument/2006/relationships/hyperlink" Target="https://www.kanchanmetals.com/" TargetMode="External"/><Relationship Id="rId27" Type="http://schemas.openxmlformats.org/officeDocument/2006/relationships/hyperlink" Target="https://www.atlascopco.com/en-in" TargetMode="External"/><Relationship Id="rId30"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indiamart.com/fabgearcorporatio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liteengineeringco.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urudattacnc.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ssociatedmanufacturin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Views>
    <sheetView tabSelected="1" topLeftCell="H1" zoomScale="85" zoomScaleNormal="85" workbookViewId="0">
      <selection activeCell="Q26" sqref="Q26"/>
    </sheetView>
  </sheetViews>
  <sheetFormatPr defaultColWidth="8.6640625" defaultRowHeight="14.4" x14ac:dyDescent="0.3"/>
  <cols>
    <col min="1" max="1" width="34.77734375" customWidth="1"/>
    <col min="2" max="2" width="44.109375" customWidth="1"/>
    <col min="3" max="3" width="14.77734375" customWidth="1"/>
    <col min="4" max="4" width="34.109375" customWidth="1"/>
    <col min="5" max="5" width="9" customWidth="1"/>
    <col min="6" max="6" width="15.6640625" customWidth="1"/>
    <col min="7" max="7" width="32.5546875" customWidth="1"/>
    <col min="8" max="8" width="47.88671875" customWidth="1"/>
    <col min="9" max="9" width="14.77734375" customWidth="1"/>
    <col min="10" max="10" width="7" customWidth="1"/>
    <col min="11" max="11" width="6.77734375" customWidth="1"/>
    <col min="12" max="12" width="6.5546875" customWidth="1"/>
    <col min="13" max="13" width="6.44140625" customWidth="1"/>
    <col min="14" max="14" width="6" customWidth="1"/>
    <col min="15" max="15" width="5.77734375" customWidth="1"/>
    <col min="16" max="16" width="17.21875" customWidth="1"/>
    <col min="17" max="17" width="19.21875" customWidth="1"/>
    <col min="18" max="18" width="129.332031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ustomHeight="1" x14ac:dyDescent="0.3">
      <c r="A2" s="34" t="s">
        <v>190</v>
      </c>
      <c r="B2" s="15" t="s">
        <v>191</v>
      </c>
      <c r="C2" s="16" t="s">
        <v>192</v>
      </c>
      <c r="D2" s="17" t="s">
        <v>193</v>
      </c>
      <c r="E2" s="16" t="s">
        <v>22</v>
      </c>
      <c r="F2" s="17" t="s">
        <v>194</v>
      </c>
      <c r="G2" s="16" t="s">
        <v>195</v>
      </c>
      <c r="H2" s="16" t="s">
        <v>196</v>
      </c>
      <c r="I2" s="16" t="s">
        <v>121</v>
      </c>
      <c r="J2" s="16">
        <v>19</v>
      </c>
      <c r="K2" s="16">
        <v>14</v>
      </c>
      <c r="L2" s="16">
        <v>15</v>
      </c>
      <c r="M2" s="16">
        <v>14</v>
      </c>
      <c r="N2" s="16">
        <v>18</v>
      </c>
      <c r="O2" s="16">
        <v>13</v>
      </c>
      <c r="P2" s="16">
        <f>SUM(J2:O2)</f>
        <v>93</v>
      </c>
      <c r="Q2" s="38" t="str">
        <f>IF(P2&gt;=80,"A-Strong Federer",IF(P2&gt;=60,"B-Probable Federer",IF(P2&gt;=40,"C-Borderline","D-Not ICP")))</f>
        <v>A-Strong Federer</v>
      </c>
      <c r="R2" s="16" t="s">
        <v>197</v>
      </c>
    </row>
    <row r="3" spans="1:18" x14ac:dyDescent="0.3">
      <c r="A3" s="14" t="s">
        <v>112</v>
      </c>
      <c r="B3" s="3" t="s">
        <v>113</v>
      </c>
      <c r="C3" t="s">
        <v>294</v>
      </c>
      <c r="D3" t="s">
        <v>106</v>
      </c>
      <c r="E3" s="4" t="s">
        <v>107</v>
      </c>
      <c r="F3" t="s">
        <v>338</v>
      </c>
      <c r="G3" s="31" t="s">
        <v>339</v>
      </c>
      <c r="H3" s="4" t="s">
        <v>340</v>
      </c>
      <c r="I3" s="4" t="s">
        <v>48</v>
      </c>
      <c r="J3">
        <v>20</v>
      </c>
      <c r="K3">
        <v>15</v>
      </c>
      <c r="L3">
        <v>15</v>
      </c>
      <c r="M3">
        <v>15</v>
      </c>
      <c r="N3">
        <v>20</v>
      </c>
      <c r="O3">
        <v>8</v>
      </c>
      <c r="P3" s="4">
        <f>SUM(J3:O3)</f>
        <v>93</v>
      </c>
      <c r="Q3" s="12" t="s">
        <v>85</v>
      </c>
      <c r="R3" s="40" t="s">
        <v>341</v>
      </c>
    </row>
    <row r="4" spans="1:18" ht="15" customHeight="1" x14ac:dyDescent="0.3">
      <c r="A4" s="2" t="s">
        <v>79</v>
      </c>
      <c r="B4" s="3" t="s">
        <v>80</v>
      </c>
      <c r="C4" s="4" t="s">
        <v>81</v>
      </c>
      <c r="D4" s="45" t="s">
        <v>60</v>
      </c>
      <c r="E4" s="4" t="s">
        <v>22</v>
      </c>
      <c r="F4" s="4" t="s">
        <v>82</v>
      </c>
      <c r="G4" s="4" t="s">
        <v>83</v>
      </c>
      <c r="H4" s="4" t="s">
        <v>84</v>
      </c>
      <c r="I4" s="4" t="s">
        <v>48</v>
      </c>
      <c r="J4">
        <v>20</v>
      </c>
      <c r="K4">
        <v>15</v>
      </c>
      <c r="L4">
        <v>15</v>
      </c>
      <c r="M4">
        <v>15</v>
      </c>
      <c r="N4">
        <v>10</v>
      </c>
      <c r="O4">
        <v>15</v>
      </c>
      <c r="P4" s="4">
        <f>SUM(J4:O4)</f>
        <v>90</v>
      </c>
      <c r="Q4" s="12" t="s">
        <v>85</v>
      </c>
      <c r="R4" s="4" t="s">
        <v>86</v>
      </c>
    </row>
    <row r="5" spans="1:18" ht="42.75" customHeight="1" x14ac:dyDescent="0.3">
      <c r="A5" s="2" t="s">
        <v>97</v>
      </c>
      <c r="B5" s="3" t="s">
        <v>98</v>
      </c>
      <c r="C5" s="4" t="s">
        <v>99</v>
      </c>
      <c r="D5" s="47" t="s">
        <v>60</v>
      </c>
      <c r="E5" s="4" t="s">
        <v>22</v>
      </c>
      <c r="F5" s="11" t="s">
        <v>100</v>
      </c>
      <c r="G5" s="9" t="s">
        <v>101</v>
      </c>
      <c r="H5" s="4" t="s">
        <v>102</v>
      </c>
      <c r="I5" s="4" t="s">
        <v>48</v>
      </c>
      <c r="J5">
        <v>20</v>
      </c>
      <c r="K5">
        <v>8</v>
      </c>
      <c r="L5">
        <v>15</v>
      </c>
      <c r="M5">
        <v>15</v>
      </c>
      <c r="N5">
        <v>20</v>
      </c>
      <c r="O5">
        <v>8</v>
      </c>
      <c r="P5" s="4">
        <f>SUM(J5:O5)</f>
        <v>86</v>
      </c>
      <c r="Q5" s="4" t="s">
        <v>85</v>
      </c>
      <c r="R5" s="4" t="s">
        <v>103</v>
      </c>
    </row>
    <row r="6" spans="1:18" ht="28.8" x14ac:dyDescent="0.3">
      <c r="A6" s="35" t="s">
        <v>292</v>
      </c>
      <c r="B6" s="30" t="s">
        <v>293</v>
      </c>
      <c r="C6" s="31" t="s">
        <v>294</v>
      </c>
      <c r="D6" t="s">
        <v>106</v>
      </c>
      <c r="E6" s="32" t="s">
        <v>107</v>
      </c>
      <c r="F6" s="33" t="s">
        <v>295</v>
      </c>
      <c r="G6" t="s">
        <v>297</v>
      </c>
      <c r="H6" s="32" t="s">
        <v>296</v>
      </c>
      <c r="I6" s="32" t="s">
        <v>48</v>
      </c>
      <c r="J6" s="32">
        <v>20</v>
      </c>
      <c r="K6" s="32">
        <v>15</v>
      </c>
      <c r="L6" s="32">
        <v>15</v>
      </c>
      <c r="M6" s="32">
        <v>8</v>
      </c>
      <c r="N6" s="32">
        <v>20</v>
      </c>
      <c r="O6" s="32">
        <v>8</v>
      </c>
      <c r="P6" s="32">
        <f>SUM(J6:O6)</f>
        <v>86</v>
      </c>
      <c r="Q6" s="38" t="str">
        <f>IF(P6&gt;=80,"A-Strong Federer",IF(P6&gt;=60,"B-Probable Federer",IF(P6&gt;=40,"C-Borderline","D-Not ICP")))</f>
        <v>A-Strong Federer</v>
      </c>
      <c r="R6" t="s">
        <v>298</v>
      </c>
    </row>
    <row r="7" spans="1:18" x14ac:dyDescent="0.3">
      <c r="A7" s="34" t="s">
        <v>157</v>
      </c>
      <c r="B7" s="15" t="s">
        <v>158</v>
      </c>
      <c r="C7" s="16" t="s">
        <v>159</v>
      </c>
      <c r="D7" s="17" t="s">
        <v>160</v>
      </c>
      <c r="E7" s="16" t="s">
        <v>22</v>
      </c>
      <c r="F7" s="17" t="s">
        <v>161</v>
      </c>
      <c r="G7" s="16" t="s">
        <v>162</v>
      </c>
      <c r="H7" s="16" t="s">
        <v>163</v>
      </c>
      <c r="I7" s="16" t="s">
        <v>147</v>
      </c>
      <c r="J7" s="16">
        <v>17</v>
      </c>
      <c r="K7" s="16">
        <v>12</v>
      </c>
      <c r="L7" s="16">
        <v>14</v>
      </c>
      <c r="M7" s="16">
        <v>13</v>
      </c>
      <c r="N7" s="16">
        <v>19</v>
      </c>
      <c r="O7" s="16">
        <v>10</v>
      </c>
      <c r="P7" s="16">
        <f>SUM(J7:O7)</f>
        <v>85</v>
      </c>
      <c r="Q7" s="38" t="str">
        <f>IF(P7&gt;=80,"A-Strong Federer",IF(P7&gt;=60,"B-Probable Federer",IF(P7&gt;=40,"C-Borderline","D-Not ICP")))</f>
        <v>A-Strong Federer</v>
      </c>
      <c r="R7" s="16" t="s">
        <v>164</v>
      </c>
    </row>
    <row r="8" spans="1:18" x14ac:dyDescent="0.3">
      <c r="A8" s="34" t="s">
        <v>114</v>
      </c>
      <c r="B8" s="15" t="s">
        <v>115</v>
      </c>
      <c r="C8" s="16" t="s">
        <v>116</v>
      </c>
      <c r="D8" s="17" t="s">
        <v>117</v>
      </c>
      <c r="E8" s="16" t="s">
        <v>22</v>
      </c>
      <c r="F8" s="17" t="s">
        <v>118</v>
      </c>
      <c r="G8" s="16" t="s">
        <v>119</v>
      </c>
      <c r="H8" s="16" t="s">
        <v>120</v>
      </c>
      <c r="I8" s="16" t="s">
        <v>121</v>
      </c>
      <c r="J8" s="16">
        <v>16</v>
      </c>
      <c r="K8" s="16">
        <v>12</v>
      </c>
      <c r="L8" s="16">
        <v>15</v>
      </c>
      <c r="M8" s="16">
        <v>13</v>
      </c>
      <c r="N8" s="16">
        <v>18</v>
      </c>
      <c r="O8" s="16">
        <v>10</v>
      </c>
      <c r="P8" s="16">
        <f>SUM(J8:O8)</f>
        <v>84</v>
      </c>
      <c r="Q8" s="38" t="str">
        <f>IF(P8&gt;=80,"A-Strong Federer",IF(P8&gt;=60,"B-Probable Federer",IF(P8&gt;=40,"C-Borderline","D-Not ICP")))</f>
        <v>A-Strong Federer</v>
      </c>
      <c r="R8" s="16" t="s">
        <v>122</v>
      </c>
    </row>
    <row r="9" spans="1:18" ht="28.8" x14ac:dyDescent="0.3">
      <c r="A9" s="2" t="s">
        <v>104</v>
      </c>
      <c r="B9" s="3" t="s">
        <v>105</v>
      </c>
      <c r="C9" s="4" t="s">
        <v>99</v>
      </c>
      <c r="D9" s="10" t="s">
        <v>106</v>
      </c>
      <c r="E9" s="4" t="s">
        <v>107</v>
      </c>
      <c r="F9" s="4" t="s">
        <v>108</v>
      </c>
      <c r="G9" s="4" t="s">
        <v>109</v>
      </c>
      <c r="H9" s="4" t="s">
        <v>110</v>
      </c>
      <c r="I9" s="4" t="s">
        <v>48</v>
      </c>
      <c r="J9">
        <v>20</v>
      </c>
      <c r="K9">
        <v>8</v>
      </c>
      <c r="L9">
        <v>15</v>
      </c>
      <c r="M9">
        <v>15</v>
      </c>
      <c r="N9">
        <v>20</v>
      </c>
      <c r="O9">
        <v>0</v>
      </c>
      <c r="P9" s="4">
        <f>SUM(J9:O9)</f>
        <v>78</v>
      </c>
      <c r="Q9" s="12" t="s">
        <v>85</v>
      </c>
      <c r="R9" s="4" t="s">
        <v>111</v>
      </c>
    </row>
    <row r="10" spans="1:18" x14ac:dyDescent="0.3">
      <c r="A10" s="34" t="s">
        <v>140</v>
      </c>
      <c r="B10" s="15" t="s">
        <v>141</v>
      </c>
      <c r="C10" s="16" t="s">
        <v>142</v>
      </c>
      <c r="D10" s="17" t="s">
        <v>143</v>
      </c>
      <c r="E10" s="16" t="s">
        <v>22</v>
      </c>
      <c r="F10" s="17" t="s">
        <v>144</v>
      </c>
      <c r="G10" s="16" t="s">
        <v>145</v>
      </c>
      <c r="H10" s="16" t="s">
        <v>146</v>
      </c>
      <c r="I10" s="16" t="s">
        <v>147</v>
      </c>
      <c r="J10" s="16">
        <v>18</v>
      </c>
      <c r="K10" s="16">
        <v>10</v>
      </c>
      <c r="L10" s="16">
        <v>14</v>
      </c>
      <c r="M10" s="16">
        <v>12</v>
      </c>
      <c r="N10" s="16">
        <v>16</v>
      </c>
      <c r="O10" s="16">
        <v>8</v>
      </c>
      <c r="P10" s="16">
        <f>SUM(J10:O10)</f>
        <v>78</v>
      </c>
      <c r="Q10" s="39" t="str">
        <f>IF(P10&gt;=80,"A-Strong Federer",IF(P10&gt;=60,"B-Probable Federer",IF(P10&gt;=40,"C-Borderline","D-Not ICP")))</f>
        <v>B-Probable Federer</v>
      </c>
      <c r="R10" s="16" t="s">
        <v>148</v>
      </c>
    </row>
    <row r="11" spans="1:18" x14ac:dyDescent="0.3">
      <c r="A11" s="34" t="s">
        <v>173</v>
      </c>
      <c r="B11" s="15" t="s">
        <v>174</v>
      </c>
      <c r="C11" s="16" t="s">
        <v>175</v>
      </c>
      <c r="D11" s="17" t="s">
        <v>176</v>
      </c>
      <c r="E11" s="16" t="s">
        <v>22</v>
      </c>
      <c r="F11" s="17" t="s">
        <v>177</v>
      </c>
      <c r="G11" s="16" t="s">
        <v>178</v>
      </c>
      <c r="H11" s="16" t="s">
        <v>179</v>
      </c>
      <c r="I11" s="16" t="s">
        <v>180</v>
      </c>
      <c r="J11" s="16">
        <v>16</v>
      </c>
      <c r="K11" s="16">
        <v>10</v>
      </c>
      <c r="L11" s="16">
        <v>15</v>
      </c>
      <c r="M11" s="16">
        <v>12</v>
      </c>
      <c r="N11" s="16">
        <v>18</v>
      </c>
      <c r="O11" s="16">
        <v>7</v>
      </c>
      <c r="P11" s="16">
        <f>SUM(J11:O11)</f>
        <v>78</v>
      </c>
      <c r="Q11" s="39" t="str">
        <f>IF(P11&gt;=80,"A-Strong Federer",IF(P11&gt;=60,"B-Probable Federer",IF(P11&gt;=40,"C-Borderline","D-Not ICP")))</f>
        <v>B-Probable Federer</v>
      </c>
      <c r="R11" s="16" t="s">
        <v>181</v>
      </c>
    </row>
    <row r="12" spans="1:18" x14ac:dyDescent="0.3">
      <c r="A12" s="34" t="s">
        <v>182</v>
      </c>
      <c r="B12" s="15" t="s">
        <v>183</v>
      </c>
      <c r="C12" s="16" t="s">
        <v>184</v>
      </c>
      <c r="D12" s="17" t="s">
        <v>185</v>
      </c>
      <c r="E12" s="16" t="s">
        <v>22</v>
      </c>
      <c r="F12" s="17" t="s">
        <v>186</v>
      </c>
      <c r="G12" s="16" t="s">
        <v>187</v>
      </c>
      <c r="H12" s="16" t="s">
        <v>188</v>
      </c>
      <c r="I12" s="16" t="s">
        <v>147</v>
      </c>
      <c r="J12" s="16">
        <v>15</v>
      </c>
      <c r="K12" s="16">
        <v>10</v>
      </c>
      <c r="L12" s="16">
        <v>15</v>
      </c>
      <c r="M12" s="16">
        <v>13</v>
      </c>
      <c r="N12" s="16">
        <v>17</v>
      </c>
      <c r="O12" s="16">
        <v>7</v>
      </c>
      <c r="P12" s="16">
        <f>SUM(J12:O12)</f>
        <v>77</v>
      </c>
      <c r="Q12" s="39" t="str">
        <f>IF(P12&gt;=80,"A-Strong Federer",IF(P12&gt;=60,"B-Probable Federer",IF(P12&gt;=40,"C-Borderline","D-Not ICP")))</f>
        <v>B-Probable Federer</v>
      </c>
      <c r="R12" s="16" t="s">
        <v>189</v>
      </c>
    </row>
    <row r="13" spans="1:18" x14ac:dyDescent="0.3">
      <c r="A13" s="2" t="s">
        <v>57</v>
      </c>
      <c r="B13" s="3" t="s">
        <v>58</v>
      </c>
      <c r="C13" s="4" t="s">
        <v>59</v>
      </c>
      <c r="D13" s="4" t="s">
        <v>60</v>
      </c>
      <c r="E13" s="4" t="s">
        <v>22</v>
      </c>
      <c r="F13" s="4" t="s">
        <v>61</v>
      </c>
      <c r="G13" s="3" t="s">
        <v>62</v>
      </c>
      <c r="H13" s="4" t="s">
        <v>63</v>
      </c>
      <c r="I13" s="4" t="s">
        <v>48</v>
      </c>
      <c r="J13">
        <v>20</v>
      </c>
      <c r="K13">
        <v>8</v>
      </c>
      <c r="L13">
        <v>15</v>
      </c>
      <c r="M13">
        <v>15</v>
      </c>
      <c r="N13">
        <v>10</v>
      </c>
      <c r="O13">
        <v>8</v>
      </c>
      <c r="P13" s="4">
        <f>SUM(J13:O13)</f>
        <v>76</v>
      </c>
      <c r="Q13" s="39" t="s">
        <v>64</v>
      </c>
      <c r="R13" s="4" t="s">
        <v>65</v>
      </c>
    </row>
    <row r="14" spans="1:18" ht="28.5" customHeight="1" x14ac:dyDescent="0.3">
      <c r="A14" s="34" t="s">
        <v>149</v>
      </c>
      <c r="B14" s="15" t="s">
        <v>150</v>
      </c>
      <c r="C14" s="16" t="s">
        <v>43</v>
      </c>
      <c r="D14" s="17" t="s">
        <v>151</v>
      </c>
      <c r="E14" s="16" t="s">
        <v>22</v>
      </c>
      <c r="F14" s="17" t="s">
        <v>152</v>
      </c>
      <c r="G14" s="16" t="s">
        <v>153</v>
      </c>
      <c r="H14" s="16" t="s">
        <v>154</v>
      </c>
      <c r="I14" s="16" t="s">
        <v>155</v>
      </c>
      <c r="J14" s="16">
        <v>14</v>
      </c>
      <c r="K14" s="16">
        <v>9</v>
      </c>
      <c r="L14" s="16">
        <v>15</v>
      </c>
      <c r="M14" s="16">
        <v>12</v>
      </c>
      <c r="N14" s="16">
        <v>17</v>
      </c>
      <c r="O14" s="16">
        <v>7</v>
      </c>
      <c r="P14" s="16">
        <f>SUM(J14:O14)</f>
        <v>74</v>
      </c>
      <c r="Q14" s="39" t="str">
        <f>IF(P14&gt;=80,"A-Strong Federer",IF(P14&gt;=60,"B-Probable Federer",IF(P14&gt;=40,"C-Borderline","D-Not ICP")))</f>
        <v>B-Probable Federer</v>
      </c>
      <c r="R14" s="16" t="s">
        <v>156</v>
      </c>
    </row>
    <row r="15" spans="1:18" x14ac:dyDescent="0.3">
      <c r="A15" s="2" t="s">
        <v>66</v>
      </c>
      <c r="B15" s="3" t="s">
        <v>67</v>
      </c>
      <c r="C15" s="4" t="s">
        <v>68</v>
      </c>
      <c r="D15" s="4" t="s">
        <v>60</v>
      </c>
      <c r="E15" s="4" t="s">
        <v>22</v>
      </c>
      <c r="F15" s="4" t="s">
        <v>69</v>
      </c>
      <c r="G15" s="9" t="s">
        <v>70</v>
      </c>
      <c r="H15" s="4" t="s">
        <v>71</v>
      </c>
      <c r="I15" s="4" t="s">
        <v>48</v>
      </c>
      <c r="J15">
        <v>20</v>
      </c>
      <c r="K15">
        <v>8</v>
      </c>
      <c r="L15">
        <v>15</v>
      </c>
      <c r="M15">
        <v>15</v>
      </c>
      <c r="N15">
        <v>10</v>
      </c>
      <c r="O15">
        <v>5</v>
      </c>
      <c r="P15" s="4">
        <f>SUM(J15:O15)</f>
        <v>73</v>
      </c>
      <c r="Q15" s="39" t="s">
        <v>64</v>
      </c>
      <c r="R15" s="4" t="s">
        <v>72</v>
      </c>
    </row>
    <row r="16" spans="1:18" ht="15" x14ac:dyDescent="0.35">
      <c r="A16" s="2" t="s">
        <v>18</v>
      </c>
      <c r="B16" s="3" t="s">
        <v>19</v>
      </c>
      <c r="C16" s="4" t="s">
        <v>20</v>
      </c>
      <c r="D16" s="5" t="s">
        <v>21</v>
      </c>
      <c r="E16" s="4" t="s">
        <v>22</v>
      </c>
      <c r="F16" s="6" t="s">
        <v>23</v>
      </c>
      <c r="G16" s="4" t="s">
        <v>24</v>
      </c>
      <c r="H16" s="4" t="s">
        <v>25</v>
      </c>
      <c r="I16" s="4" t="s">
        <v>26</v>
      </c>
      <c r="J16">
        <v>20</v>
      </c>
      <c r="K16">
        <v>8</v>
      </c>
      <c r="L16">
        <v>15</v>
      </c>
      <c r="M16">
        <v>8</v>
      </c>
      <c r="N16">
        <v>15</v>
      </c>
      <c r="O16">
        <v>5</v>
      </c>
      <c r="P16" s="4">
        <f>SUM(J16:O16)</f>
        <v>71</v>
      </c>
      <c r="Q16" s="39" t="str">
        <f>IF(P16&gt;=80,"A-Strong Federer",IF(P16&gt;=60,"B-Probable Federer",IF(P16&gt;=40,"C-Borderline","D-Not ICP")))</f>
        <v>B-Probable Federer</v>
      </c>
      <c r="R16" s="4" t="s">
        <v>27</v>
      </c>
    </row>
    <row r="17" spans="1:18" x14ac:dyDescent="0.3">
      <c r="A17" s="34" t="s">
        <v>165</v>
      </c>
      <c r="B17" s="15" t="s">
        <v>166</v>
      </c>
      <c r="C17" s="16" t="s">
        <v>167</v>
      </c>
      <c r="D17" s="17" t="s">
        <v>168</v>
      </c>
      <c r="E17" s="16" t="s">
        <v>22</v>
      </c>
      <c r="F17" s="17" t="s">
        <v>126</v>
      </c>
      <c r="G17" s="16" t="s">
        <v>169</v>
      </c>
      <c r="H17" s="16" t="s">
        <v>170</v>
      </c>
      <c r="I17" s="16" t="s">
        <v>171</v>
      </c>
      <c r="J17" s="16">
        <v>15</v>
      </c>
      <c r="K17" s="16">
        <v>8</v>
      </c>
      <c r="L17" s="16">
        <v>14</v>
      </c>
      <c r="M17" s="16">
        <v>11</v>
      </c>
      <c r="N17" s="16">
        <v>16</v>
      </c>
      <c r="O17" s="16">
        <v>6</v>
      </c>
      <c r="P17" s="16">
        <f>SUM(J17:O17)</f>
        <v>70</v>
      </c>
      <c r="Q17" s="39" t="str">
        <f>IF(P17&gt;=80,"A-Strong Federer",IF(P17&gt;=60,"B-Probable Federer",IF(P17&gt;=40,"C-Borderline","D-Not ICP")))</f>
        <v>B-Probable Federer</v>
      </c>
      <c r="R17" s="16" t="s">
        <v>172</v>
      </c>
    </row>
    <row r="18" spans="1:18" x14ac:dyDescent="0.3">
      <c r="A18" s="34" t="s">
        <v>123</v>
      </c>
      <c r="B18" s="15" t="s">
        <v>124</v>
      </c>
      <c r="C18" s="16" t="s">
        <v>43</v>
      </c>
      <c r="D18" s="17" t="s">
        <v>125</v>
      </c>
      <c r="E18" s="16" t="s">
        <v>22</v>
      </c>
      <c r="F18" s="17" t="s">
        <v>126</v>
      </c>
      <c r="G18" s="16" t="s">
        <v>127</v>
      </c>
      <c r="H18" s="16" t="s">
        <v>128</v>
      </c>
      <c r="I18" s="16" t="s">
        <v>129</v>
      </c>
      <c r="J18" s="16">
        <v>13</v>
      </c>
      <c r="K18" s="16">
        <v>9</v>
      </c>
      <c r="L18" s="16">
        <v>14</v>
      </c>
      <c r="M18" s="16">
        <v>11</v>
      </c>
      <c r="N18" s="16">
        <v>15</v>
      </c>
      <c r="O18" s="16">
        <v>7</v>
      </c>
      <c r="P18" s="16">
        <f>SUM(J18:O18)</f>
        <v>69</v>
      </c>
      <c r="Q18" s="39" t="str">
        <f>IF(P18&gt;=80,"A-Strong Federer",IF(P18&gt;=60,"B-Probable Federer",IF(P18&gt;=40,"C-Borderline","D-Not ICP")))</f>
        <v>B-Probable Federer</v>
      </c>
      <c r="R18" s="16" t="s">
        <v>130</v>
      </c>
    </row>
    <row r="19" spans="1:18" x14ac:dyDescent="0.3">
      <c r="A19" s="36" t="s">
        <v>28</v>
      </c>
      <c r="B19" s="3" t="s">
        <v>29</v>
      </c>
      <c r="C19" s="4" t="s">
        <v>20</v>
      </c>
      <c r="D19" s="4" t="s">
        <v>30</v>
      </c>
      <c r="E19" s="4" t="s">
        <v>22</v>
      </c>
      <c r="F19" s="4" t="s">
        <v>31</v>
      </c>
      <c r="H19" s="4" t="s">
        <v>32</v>
      </c>
      <c r="I19" s="4" t="s">
        <v>33</v>
      </c>
      <c r="J19">
        <v>10</v>
      </c>
      <c r="K19">
        <v>7</v>
      </c>
      <c r="L19">
        <v>15</v>
      </c>
      <c r="M19">
        <v>15</v>
      </c>
      <c r="N19">
        <v>10</v>
      </c>
      <c r="O19">
        <v>7</v>
      </c>
      <c r="P19" s="4">
        <f>SUM(J19:O19)</f>
        <v>64</v>
      </c>
      <c r="Q19" s="39" t="str">
        <f>IF(P19&gt;=80,"A-Strong Federer",IF(P19&gt;=60,"B-Probable Federer",IF(P19&gt;=40,"C-Borderline","D-Not ICP")))</f>
        <v>B-Probable Federer</v>
      </c>
      <c r="R19" s="4" t="s">
        <v>34</v>
      </c>
    </row>
    <row r="20" spans="1:18" x14ac:dyDescent="0.3">
      <c r="A20" s="34" t="s">
        <v>131</v>
      </c>
      <c r="B20" s="15" t="s">
        <v>132</v>
      </c>
      <c r="C20" s="16" t="s">
        <v>133</v>
      </c>
      <c r="D20" s="17" t="s">
        <v>134</v>
      </c>
      <c r="E20" s="16" t="s">
        <v>22</v>
      </c>
      <c r="F20" s="17" t="s">
        <v>135</v>
      </c>
      <c r="G20" s="16" t="s">
        <v>136</v>
      </c>
      <c r="H20" s="16" t="s">
        <v>137</v>
      </c>
      <c r="I20" s="16" t="s">
        <v>138</v>
      </c>
      <c r="J20" s="16">
        <v>12</v>
      </c>
      <c r="K20" s="16">
        <v>8</v>
      </c>
      <c r="L20" s="16">
        <v>13</v>
      </c>
      <c r="M20" s="16">
        <v>10</v>
      </c>
      <c r="N20" s="16">
        <v>13</v>
      </c>
      <c r="O20" s="16">
        <v>6</v>
      </c>
      <c r="P20" s="16">
        <f>SUM(J20:O20)</f>
        <v>62</v>
      </c>
      <c r="Q20" s="39" t="str">
        <f>IF(P20&gt;=80,"A-Strong Federer",IF(P20&gt;=60,"B-Probable Federer",IF(P20&gt;=40,"C-Borderline","D-Not ICP")))</f>
        <v>B-Probable Federer</v>
      </c>
      <c r="R20" s="16" t="s">
        <v>139</v>
      </c>
    </row>
    <row r="21" spans="1:18" ht="15" x14ac:dyDescent="0.35">
      <c r="A21" s="37" t="s">
        <v>35</v>
      </c>
      <c r="B21" s="3" t="s">
        <v>36</v>
      </c>
      <c r="C21" s="4" t="s">
        <v>20</v>
      </c>
      <c r="D21" s="46" t="s">
        <v>37</v>
      </c>
      <c r="E21" s="4" t="s">
        <v>22</v>
      </c>
      <c r="F21" s="6" t="s">
        <v>23</v>
      </c>
      <c r="G21" s="4" t="s">
        <v>38</v>
      </c>
      <c r="H21" s="4" t="s">
        <v>39</v>
      </c>
      <c r="I21" s="4" t="s">
        <v>33</v>
      </c>
      <c r="J21">
        <v>10</v>
      </c>
      <c r="K21">
        <v>10</v>
      </c>
      <c r="L21">
        <v>15</v>
      </c>
      <c r="M21">
        <v>8</v>
      </c>
      <c r="N21">
        <v>8</v>
      </c>
      <c r="O21">
        <v>10</v>
      </c>
      <c r="P21" s="4">
        <f>SUM(J21:O21)</f>
        <v>61</v>
      </c>
      <c r="Q21" s="39" t="str">
        <f>IF(P21&gt;=80,"A-Strong Federer",IF(P21&gt;=60,"B-Probable Federer",IF(P21&gt;=40,"C-Borderline","D-Not ICP")))</f>
        <v>B-Probable Federer</v>
      </c>
      <c r="R21" s="4" t="s">
        <v>40</v>
      </c>
    </row>
    <row r="22" spans="1:18" x14ac:dyDescent="0.3">
      <c r="A22" s="2" t="s">
        <v>51</v>
      </c>
      <c r="B22" s="3" t="s">
        <v>52</v>
      </c>
      <c r="C22" s="10" t="s">
        <v>43</v>
      </c>
      <c r="D22" s="4" t="s">
        <v>30</v>
      </c>
      <c r="E22" s="4" t="s">
        <v>22</v>
      </c>
      <c r="F22" s="4" t="s">
        <v>53</v>
      </c>
      <c r="G22" s="3" t="s">
        <v>54</v>
      </c>
      <c r="H22" s="4" t="s">
        <v>55</v>
      </c>
      <c r="I22" s="4" t="s">
        <v>48</v>
      </c>
      <c r="J22">
        <v>10</v>
      </c>
      <c r="K22">
        <v>9</v>
      </c>
      <c r="L22">
        <v>15</v>
      </c>
      <c r="M22">
        <v>10</v>
      </c>
      <c r="N22">
        <v>10</v>
      </c>
      <c r="O22">
        <v>5</v>
      </c>
      <c r="P22" s="4">
        <f>SUM(J22:O22)</f>
        <v>59</v>
      </c>
      <c r="Q22" t="s">
        <v>49</v>
      </c>
      <c r="R22" s="4" t="s">
        <v>56</v>
      </c>
    </row>
    <row r="23" spans="1:18" ht="43.2" x14ac:dyDescent="0.3">
      <c r="A23" s="8" t="s">
        <v>41</v>
      </c>
      <c r="B23" s="9" t="s">
        <v>42</v>
      </c>
      <c r="C23" s="10" t="s">
        <v>43</v>
      </c>
      <c r="D23" s="10" t="s">
        <v>44</v>
      </c>
      <c r="E23" s="4" t="s">
        <v>22</v>
      </c>
      <c r="F23" s="10" t="s">
        <v>45</v>
      </c>
      <c r="G23" s="10" t="s">
        <v>46</v>
      </c>
      <c r="H23" s="10" t="s">
        <v>47</v>
      </c>
      <c r="I23" s="10" t="s">
        <v>48</v>
      </c>
      <c r="J23">
        <v>10</v>
      </c>
      <c r="K23">
        <v>8</v>
      </c>
      <c r="L23">
        <v>15</v>
      </c>
      <c r="M23">
        <v>8</v>
      </c>
      <c r="N23">
        <v>0</v>
      </c>
      <c r="O23">
        <v>15</v>
      </c>
      <c r="P23" s="4">
        <f>SUM(J23:O23)</f>
        <v>56</v>
      </c>
      <c r="Q23" t="s">
        <v>49</v>
      </c>
      <c r="R23" s="4" t="s">
        <v>50</v>
      </c>
    </row>
    <row r="24" spans="1:18" x14ac:dyDescent="0.3">
      <c r="A24" s="2" t="s">
        <v>87</v>
      </c>
      <c r="B24" s="3" t="s">
        <v>88</v>
      </c>
      <c r="C24" s="4" t="s">
        <v>89</v>
      </c>
      <c r="D24" s="4" t="s">
        <v>60</v>
      </c>
      <c r="E24" s="4" t="s">
        <v>22</v>
      </c>
      <c r="F24" s="4" t="s">
        <v>90</v>
      </c>
      <c r="G24" s="13" t="s">
        <v>91</v>
      </c>
      <c r="H24" s="4" t="s">
        <v>92</v>
      </c>
      <c r="I24" s="4" t="s">
        <v>48</v>
      </c>
      <c r="J24">
        <v>10</v>
      </c>
      <c r="K24">
        <v>7</v>
      </c>
      <c r="L24">
        <v>15</v>
      </c>
      <c r="M24">
        <v>5</v>
      </c>
      <c r="N24">
        <v>0</v>
      </c>
      <c r="O24">
        <v>2</v>
      </c>
      <c r="P24" s="4">
        <f>SUM(J24:O24)</f>
        <v>39</v>
      </c>
      <c r="Q24" s="11" t="s">
        <v>78</v>
      </c>
      <c r="R24" s="4" t="s">
        <v>76</v>
      </c>
    </row>
    <row r="25" spans="1:18" x14ac:dyDescent="0.3">
      <c r="A25" s="2" t="s">
        <v>93</v>
      </c>
      <c r="B25" s="3" t="s">
        <v>94</v>
      </c>
      <c r="C25" s="4" t="s">
        <v>95</v>
      </c>
      <c r="D25" s="4" t="s">
        <v>60</v>
      </c>
      <c r="E25" s="4" t="s">
        <v>22</v>
      </c>
      <c r="H25" s="4" t="s">
        <v>96</v>
      </c>
      <c r="I25" s="4" t="s">
        <v>48</v>
      </c>
      <c r="J25">
        <v>10</v>
      </c>
      <c r="K25">
        <v>0</v>
      </c>
      <c r="L25">
        <v>15</v>
      </c>
      <c r="M25">
        <v>0</v>
      </c>
      <c r="N25">
        <v>0</v>
      </c>
      <c r="O25">
        <v>0</v>
      </c>
      <c r="P25" s="4">
        <f>SUM(J25:O25)</f>
        <v>25</v>
      </c>
      <c r="Q25" s="11" t="s">
        <v>78</v>
      </c>
      <c r="R25" s="4" t="s">
        <v>76</v>
      </c>
    </row>
    <row r="26" spans="1:18" x14ac:dyDescent="0.3">
      <c r="A26" s="2" t="s">
        <v>73</v>
      </c>
      <c r="B26" s="3" t="s">
        <v>74</v>
      </c>
      <c r="C26" s="4" t="s">
        <v>342</v>
      </c>
      <c r="D26" s="4" t="s">
        <v>60</v>
      </c>
      <c r="E26" s="4" t="s">
        <v>22</v>
      </c>
      <c r="F26" s="4" t="s">
        <v>75</v>
      </c>
      <c r="G26" s="4" t="s">
        <v>76</v>
      </c>
      <c r="H26" s="4" t="s">
        <v>77</v>
      </c>
      <c r="I26" s="4" t="s">
        <v>48</v>
      </c>
      <c r="J26">
        <v>0</v>
      </c>
      <c r="K26">
        <v>0</v>
      </c>
      <c r="L26">
        <v>15</v>
      </c>
      <c r="M26">
        <v>8</v>
      </c>
      <c r="N26">
        <v>0</v>
      </c>
      <c r="O26">
        <v>0</v>
      </c>
      <c r="P26" s="4">
        <f>SUM(J26:O26)</f>
        <v>23</v>
      </c>
      <c r="Q26" s="11" t="s">
        <v>78</v>
      </c>
      <c r="R26" s="4" t="s">
        <v>76</v>
      </c>
    </row>
  </sheetData>
  <sortState ref="A2:R26">
    <sortCondition descending="1" ref="P2:P26"/>
  </sortState>
  <conditionalFormatting sqref="Q11:Q12">
    <cfRule type="colorScale" priority="3">
      <colorScale>
        <cfvo type="min"/>
        <cfvo type="percentile" val="50"/>
        <cfvo type="max"/>
        <color rgb="FFF8696B"/>
        <color rgb="FFFFEB84"/>
        <color rgb="FF63BE7B"/>
      </colorScale>
    </cfRule>
  </conditionalFormatting>
  <conditionalFormatting sqref="Q2:Q9">
    <cfRule type="colorScale" priority="4">
      <colorScale>
        <cfvo type="min"/>
        <cfvo type="percentile" val="50"/>
        <cfvo type="max"/>
        <color rgb="FFF8696B"/>
        <color rgb="FFFFEB84"/>
        <color rgb="FF63BE7B"/>
      </colorScale>
    </cfRule>
  </conditionalFormatting>
  <conditionalFormatting sqref="Q26">
    <cfRule type="colorScale" priority="1">
      <colorScale>
        <cfvo type="min"/>
        <cfvo type="percentile" val="50"/>
        <cfvo type="max"/>
        <color rgb="FFF8696B"/>
        <color rgb="FFFFEB84"/>
        <color rgb="FF63BE7B"/>
      </colorScale>
    </cfRule>
  </conditionalFormatting>
  <hyperlinks>
    <hyperlink ref="B16" r:id="rId1"/>
    <hyperlink ref="B19" r:id="rId2"/>
    <hyperlink ref="B21" r:id="rId3"/>
    <hyperlink ref="B23" r:id="rId4"/>
    <hyperlink ref="B22" r:id="rId5"/>
    <hyperlink ref="G22" r:id="rId6"/>
    <hyperlink ref="B13" r:id="rId7"/>
    <hyperlink ref="G13" r:id="rId8"/>
    <hyperlink ref="B15" r:id="rId9"/>
    <hyperlink ref="G15" r:id="rId10"/>
    <hyperlink ref="B26" r:id="rId11"/>
    <hyperlink ref="B4" r:id="rId12"/>
    <hyperlink ref="B24" r:id="rId13"/>
    <hyperlink ref="B25" r:id="rId14"/>
    <hyperlink ref="B5" r:id="rId15"/>
    <hyperlink ref="G5" r:id="rId16"/>
    <hyperlink ref="B9" r:id="rId17"/>
    <hyperlink ref="B3" r:id="rId18"/>
    <hyperlink ref="B8" r:id="rId19"/>
    <hyperlink ref="B18" r:id="rId20"/>
    <hyperlink ref="B20" r:id="rId21"/>
    <hyperlink ref="B10" r:id="rId22"/>
    <hyperlink ref="B14" r:id="rId23"/>
    <hyperlink ref="B7" r:id="rId24"/>
    <hyperlink ref="B17" r:id="rId25"/>
    <hyperlink ref="B11" r:id="rId26"/>
    <hyperlink ref="B12" r:id="rId27"/>
    <hyperlink ref="B2" r:id="rId28"/>
    <hyperlink ref="B6" r:id="rId29"/>
  </hyperlinks>
  <pageMargins left="0.7" right="0.7" top="0.75" bottom="0.75" header="0.511811023622047" footer="0.511811023622047"/>
  <pageSetup orientation="portrait" horizontalDpi="300" verticalDpi="300"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topLeftCell="A21" zoomScaleNormal="100" workbookViewId="0">
      <selection activeCell="A41" sqref="A41"/>
    </sheetView>
  </sheetViews>
  <sheetFormatPr defaultColWidth="8.6640625" defaultRowHeight="14.4" x14ac:dyDescent="0.3"/>
  <cols>
    <col min="1" max="1" width="110.21875" customWidth="1"/>
    <col min="2" max="2" width="56.77734375" customWidth="1"/>
  </cols>
  <sheetData>
    <row r="1" spans="1:1" x14ac:dyDescent="0.3">
      <c r="A1" s="42" t="s">
        <v>325</v>
      </c>
    </row>
    <row r="3" spans="1:1" x14ac:dyDescent="0.3">
      <c r="A3" s="29" t="s">
        <v>299</v>
      </c>
    </row>
    <row r="4" spans="1:1" x14ac:dyDescent="0.3">
      <c r="A4" t="s">
        <v>300</v>
      </c>
    </row>
    <row r="6" spans="1:1" x14ac:dyDescent="0.3">
      <c r="A6" s="29" t="s">
        <v>301</v>
      </c>
    </row>
    <row r="7" spans="1:1" x14ac:dyDescent="0.3">
      <c r="A7" s="40"/>
    </row>
    <row r="8" spans="1:1" x14ac:dyDescent="0.3">
      <c r="A8" s="40" t="s">
        <v>302</v>
      </c>
    </row>
    <row r="9" spans="1:1" x14ac:dyDescent="0.3">
      <c r="A9" s="40" t="s">
        <v>303</v>
      </c>
    </row>
    <row r="10" spans="1:1" x14ac:dyDescent="0.3">
      <c r="A10" s="40" t="s">
        <v>304</v>
      </c>
    </row>
    <row r="11" spans="1:1" x14ac:dyDescent="0.3">
      <c r="A11" s="41" t="s">
        <v>305</v>
      </c>
    </row>
    <row r="12" spans="1:1" x14ac:dyDescent="0.3">
      <c r="A12" s="41" t="s">
        <v>306</v>
      </c>
    </row>
    <row r="13" spans="1:1" x14ac:dyDescent="0.3">
      <c r="A13" s="41" t="s">
        <v>307</v>
      </c>
    </row>
    <row r="14" spans="1:1" x14ac:dyDescent="0.3">
      <c r="A14" s="41" t="s">
        <v>308</v>
      </c>
    </row>
    <row r="15" spans="1:1" x14ac:dyDescent="0.3">
      <c r="A15" s="41" t="s">
        <v>309</v>
      </c>
    </row>
    <row r="16" spans="1:1" x14ac:dyDescent="0.3">
      <c r="A16" s="41" t="s">
        <v>310</v>
      </c>
    </row>
    <row r="18" spans="1:1" x14ac:dyDescent="0.3">
      <c r="A18" s="29" t="s">
        <v>311</v>
      </c>
    </row>
    <row r="19" spans="1:1" x14ac:dyDescent="0.3">
      <c r="A19" s="40"/>
    </row>
    <row r="20" spans="1:1" x14ac:dyDescent="0.3">
      <c r="A20" s="40" t="s">
        <v>312</v>
      </c>
    </row>
    <row r="21" spans="1:1" x14ac:dyDescent="0.3">
      <c r="A21" s="40" t="s">
        <v>313</v>
      </c>
    </row>
    <row r="22" spans="1:1" x14ac:dyDescent="0.3">
      <c r="A22" s="40" t="s">
        <v>314</v>
      </c>
    </row>
    <row r="23" spans="1:1" x14ac:dyDescent="0.3">
      <c r="A23" s="40" t="s">
        <v>315</v>
      </c>
    </row>
    <row r="25" spans="1:1" x14ac:dyDescent="0.3">
      <c r="A25" s="29" t="s">
        <v>316</v>
      </c>
    </row>
    <row r="26" spans="1:1" x14ac:dyDescent="0.3">
      <c r="A26" s="40"/>
    </row>
    <row r="27" spans="1:1" x14ac:dyDescent="0.3">
      <c r="A27" s="40" t="s">
        <v>317</v>
      </c>
    </row>
    <row r="28" spans="1:1" x14ac:dyDescent="0.3">
      <c r="A28" s="40" t="s">
        <v>318</v>
      </c>
    </row>
    <row r="29" spans="1:1" x14ac:dyDescent="0.3">
      <c r="A29" s="40" t="s">
        <v>319</v>
      </c>
    </row>
    <row r="30" spans="1:1" x14ac:dyDescent="0.3">
      <c r="A30" s="40" t="s">
        <v>320</v>
      </c>
    </row>
    <row r="31" spans="1:1" x14ac:dyDescent="0.3">
      <c r="A31" s="40" t="s">
        <v>321</v>
      </c>
    </row>
    <row r="32" spans="1:1" x14ac:dyDescent="0.3">
      <c r="A32" s="40" t="s">
        <v>322</v>
      </c>
    </row>
    <row r="34" spans="1:2" x14ac:dyDescent="0.3">
      <c r="A34" s="29" t="s">
        <v>323</v>
      </c>
    </row>
    <row r="35" spans="1:2" x14ac:dyDescent="0.3">
      <c r="A35" t="s">
        <v>324</v>
      </c>
    </row>
    <row r="37" spans="1:2" x14ac:dyDescent="0.3">
      <c r="A37" s="43" t="s">
        <v>326</v>
      </c>
    </row>
    <row r="38" spans="1:2" x14ac:dyDescent="0.3">
      <c r="A38" s="25" t="s">
        <v>327</v>
      </c>
      <c r="B38" s="25" t="s">
        <v>328</v>
      </c>
    </row>
    <row r="39" spans="1:2" x14ac:dyDescent="0.3">
      <c r="A39" s="31" t="s">
        <v>97</v>
      </c>
      <c r="B39" s="44" t="s">
        <v>329</v>
      </c>
    </row>
    <row r="40" spans="1:2" x14ac:dyDescent="0.3">
      <c r="A40" s="31" t="s">
        <v>330</v>
      </c>
      <c r="B40" s="44" t="s">
        <v>331</v>
      </c>
    </row>
    <row r="41" spans="1:2" x14ac:dyDescent="0.3">
      <c r="A41" s="31" t="s">
        <v>332</v>
      </c>
      <c r="B41" s="44" t="s">
        <v>333</v>
      </c>
    </row>
    <row r="42" spans="1:2" x14ac:dyDescent="0.3">
      <c r="A42" s="31" t="s">
        <v>334</v>
      </c>
      <c r="B42" s="44" t="s">
        <v>335</v>
      </c>
    </row>
    <row r="43" spans="1:2" x14ac:dyDescent="0.3">
      <c r="A43" s="31" t="s">
        <v>336</v>
      </c>
      <c r="B43" s="44" t="s">
        <v>337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zoomScaleNormal="100" workbookViewId="0">
      <selection activeCell="C1" sqref="C1"/>
    </sheetView>
  </sheetViews>
  <sheetFormatPr defaultColWidth="8.88671875" defaultRowHeight="14.4" x14ac:dyDescent="0.3"/>
  <cols>
    <col min="1" max="1" width="28.88671875" style="18" customWidth="1"/>
    <col min="2" max="2" width="59.77734375" style="18" customWidth="1"/>
    <col min="3" max="16384" width="8.88671875" style="18"/>
  </cols>
  <sheetData>
    <row r="1" spans="1:2" ht="15" customHeight="1" x14ac:dyDescent="0.3">
      <c r="A1" s="19" t="s">
        <v>0</v>
      </c>
      <c r="B1" s="19"/>
    </row>
    <row r="2" spans="1:2" ht="15" customHeight="1" x14ac:dyDescent="0.3">
      <c r="A2" s="7" t="s">
        <v>198</v>
      </c>
      <c r="B2" s="20" t="s">
        <v>18</v>
      </c>
    </row>
    <row r="3" spans="1:2" ht="15" customHeight="1" x14ac:dyDescent="0.3">
      <c r="A3" s="7" t="s">
        <v>199</v>
      </c>
      <c r="B3" s="21" t="s">
        <v>19</v>
      </c>
    </row>
    <row r="4" spans="1:2" ht="15" customHeight="1" x14ac:dyDescent="0.3">
      <c r="A4" s="7" t="s">
        <v>200</v>
      </c>
      <c r="B4" s="7" t="s">
        <v>201</v>
      </c>
    </row>
    <row r="5" spans="1:2" ht="15" customHeight="1" x14ac:dyDescent="0.3">
      <c r="A5" s="7" t="s">
        <v>202</v>
      </c>
      <c r="B5" s="7" t="s">
        <v>37</v>
      </c>
    </row>
    <row r="6" spans="1:2" ht="15" customHeight="1" x14ac:dyDescent="0.3">
      <c r="A6" s="7" t="s">
        <v>203</v>
      </c>
      <c r="B6" s="7" t="s">
        <v>204</v>
      </c>
    </row>
    <row r="7" spans="1:2" ht="15" customHeight="1" x14ac:dyDescent="0.3">
      <c r="A7" s="7" t="s">
        <v>205</v>
      </c>
      <c r="B7" s="7" t="s">
        <v>206</v>
      </c>
    </row>
    <row r="8" spans="1:2" ht="15" customHeight="1" x14ac:dyDescent="0.3">
      <c r="A8" s="7" t="s">
        <v>207</v>
      </c>
      <c r="B8" s="7" t="s">
        <v>24</v>
      </c>
    </row>
    <row r="9" spans="1:2" ht="15" customHeight="1" x14ac:dyDescent="0.3">
      <c r="A9" s="7" t="s">
        <v>208</v>
      </c>
      <c r="B9" s="7" t="s">
        <v>209</v>
      </c>
    </row>
    <row r="10" spans="1:2" ht="15" customHeight="1" x14ac:dyDescent="0.3">
      <c r="A10" s="7" t="s">
        <v>210</v>
      </c>
      <c r="B10" s="7" t="s">
        <v>211</v>
      </c>
    </row>
    <row r="11" spans="1:2" ht="15" customHeight="1" x14ac:dyDescent="0.3">
      <c r="A11" s="22" t="s">
        <v>212</v>
      </c>
      <c r="B11" s="7" t="s">
        <v>213</v>
      </c>
    </row>
    <row r="12" spans="1:2" x14ac:dyDescent="0.3">
      <c r="A12" s="22" t="s">
        <v>214</v>
      </c>
      <c r="B12" s="22" t="s">
        <v>215</v>
      </c>
    </row>
    <row r="13" spans="1:2" x14ac:dyDescent="0.3">
      <c r="A13" s="22" t="s">
        <v>216</v>
      </c>
      <c r="B13" s="22" t="s">
        <v>217</v>
      </c>
    </row>
    <row r="14" spans="1:2" x14ac:dyDescent="0.3">
      <c r="A14" s="22" t="s">
        <v>218</v>
      </c>
      <c r="B14" s="22" t="s">
        <v>219</v>
      </c>
    </row>
    <row r="15" spans="1:2" x14ac:dyDescent="0.3">
      <c r="A15" s="22" t="s">
        <v>220</v>
      </c>
      <c r="B15" s="22" t="s">
        <v>221</v>
      </c>
    </row>
    <row r="16" spans="1:2" x14ac:dyDescent="0.3">
      <c r="A16" s="22" t="s">
        <v>222</v>
      </c>
      <c r="B16" s="22" t="s">
        <v>223</v>
      </c>
    </row>
    <row r="17" spans="1:2" ht="15" customHeight="1" x14ac:dyDescent="0.3">
      <c r="A17" s="7" t="s">
        <v>224</v>
      </c>
      <c r="B17" s="23" t="s">
        <v>225</v>
      </c>
    </row>
    <row r="18" spans="1:2" ht="15" customHeight="1" x14ac:dyDescent="0.3">
      <c r="A18" s="7" t="s">
        <v>226</v>
      </c>
      <c r="B18" s="20" t="s">
        <v>227</v>
      </c>
    </row>
    <row r="19" spans="1:2" ht="30" customHeight="1" x14ac:dyDescent="0.3">
      <c r="A19" s="7" t="s">
        <v>228</v>
      </c>
      <c r="B19" s="7" t="s">
        <v>229</v>
      </c>
    </row>
  </sheetData>
  <hyperlinks>
    <hyperlink ref="B3" r:id="rId1"/>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topLeftCell="A7" zoomScaleNormal="100" workbookViewId="0"/>
  </sheetViews>
  <sheetFormatPr defaultColWidth="8.6640625" defaultRowHeight="14.4" x14ac:dyDescent="0.3"/>
  <cols>
    <col min="1" max="1" width="44.109375" customWidth="1"/>
    <col min="2" max="2" width="84.6640625" customWidth="1"/>
  </cols>
  <sheetData>
    <row r="1" spans="1:2" ht="30" customHeight="1" x14ac:dyDescent="0.3">
      <c r="A1" s="19" t="s">
        <v>0</v>
      </c>
      <c r="B1" s="19"/>
    </row>
    <row r="2" spans="1:2" ht="15" customHeight="1" x14ac:dyDescent="0.3">
      <c r="A2" s="7" t="s">
        <v>198</v>
      </c>
      <c r="B2" s="20" t="s">
        <v>28</v>
      </c>
    </row>
    <row r="3" spans="1:2" ht="15" customHeight="1" x14ac:dyDescent="0.3">
      <c r="A3" s="7" t="s">
        <v>199</v>
      </c>
      <c r="B3" s="3" t="s">
        <v>29</v>
      </c>
    </row>
    <row r="4" spans="1:2" ht="45" customHeight="1" x14ac:dyDescent="0.3">
      <c r="A4" s="7" t="s">
        <v>200</v>
      </c>
      <c r="B4" s="7" t="s">
        <v>201</v>
      </c>
    </row>
    <row r="5" spans="1:2" ht="75" customHeight="1" x14ac:dyDescent="0.3">
      <c r="A5" s="7" t="s">
        <v>202</v>
      </c>
      <c r="B5" s="7" t="s">
        <v>37</v>
      </c>
    </row>
    <row r="6" spans="1:2" ht="15" customHeight="1" x14ac:dyDescent="0.3">
      <c r="A6" s="7" t="s">
        <v>203</v>
      </c>
      <c r="B6" s="4" t="s">
        <v>30</v>
      </c>
    </row>
    <row r="7" spans="1:2" ht="15" customHeight="1" x14ac:dyDescent="0.3">
      <c r="A7" s="7" t="s">
        <v>205</v>
      </c>
      <c r="B7" s="4" t="s">
        <v>31</v>
      </c>
    </row>
    <row r="8" spans="1:2" ht="15" customHeight="1" x14ac:dyDescent="0.3">
      <c r="A8" s="7" t="s">
        <v>207</v>
      </c>
      <c r="B8" s="7" t="e">
        <f>--Companies!A4</f>
        <v>#VALUE!</v>
      </c>
    </row>
    <row r="9" spans="1:2" ht="30" customHeight="1" x14ac:dyDescent="0.3">
      <c r="A9" s="7" t="s">
        <v>208</v>
      </c>
      <c r="B9" s="7" t="s">
        <v>230</v>
      </c>
    </row>
    <row r="10" spans="1:2" ht="15" customHeight="1" x14ac:dyDescent="0.3">
      <c r="A10" s="7" t="s">
        <v>210</v>
      </c>
      <c r="B10" s="7" t="s">
        <v>211</v>
      </c>
    </row>
    <row r="11" spans="1:2" ht="39" customHeight="1" x14ac:dyDescent="0.3">
      <c r="A11" s="22" t="s">
        <v>212</v>
      </c>
      <c r="B11" s="7" t="s">
        <v>231</v>
      </c>
    </row>
    <row r="12" spans="1:2" x14ac:dyDescent="0.3">
      <c r="A12" s="22" t="s">
        <v>214</v>
      </c>
      <c r="B12" s="22" t="s">
        <v>232</v>
      </c>
    </row>
    <row r="13" spans="1:2" x14ac:dyDescent="0.3">
      <c r="A13" s="22" t="s">
        <v>216</v>
      </c>
      <c r="B13" s="22" t="s">
        <v>233</v>
      </c>
    </row>
    <row r="14" spans="1:2" x14ac:dyDescent="0.3">
      <c r="A14" s="22" t="s">
        <v>218</v>
      </c>
      <c r="B14" s="22" t="s">
        <v>234</v>
      </c>
    </row>
    <row r="15" spans="1:2" x14ac:dyDescent="0.3">
      <c r="A15" s="22" t="s">
        <v>220</v>
      </c>
      <c r="B15" s="22" t="s">
        <v>235</v>
      </c>
    </row>
    <row r="16" spans="1:2" x14ac:dyDescent="0.3">
      <c r="A16" s="22" t="s">
        <v>222</v>
      </c>
      <c r="B16" s="22" t="s">
        <v>223</v>
      </c>
    </row>
    <row r="17" spans="1:2" ht="15" customHeight="1" x14ac:dyDescent="0.3">
      <c r="A17" s="7" t="s">
        <v>224</v>
      </c>
      <c r="B17" s="23" t="s">
        <v>236</v>
      </c>
    </row>
    <row r="18" spans="1:2" ht="15" customHeight="1" x14ac:dyDescent="0.3">
      <c r="A18" s="7" t="s">
        <v>226</v>
      </c>
      <c r="B18" s="20" t="s">
        <v>227</v>
      </c>
    </row>
    <row r="19" spans="1:2" ht="15" customHeight="1" x14ac:dyDescent="0.3">
      <c r="A19" s="7" t="s">
        <v>228</v>
      </c>
      <c r="B19" s="4" t="s">
        <v>237</v>
      </c>
    </row>
  </sheetData>
  <hyperlinks>
    <hyperlink ref="B3" r:id="rId1"/>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zoomScaleNormal="100" workbookViewId="0"/>
  </sheetViews>
  <sheetFormatPr defaultColWidth="8.6640625" defaultRowHeight="14.4" x14ac:dyDescent="0.3"/>
  <cols>
    <col min="1" max="1" width="33.5546875" customWidth="1"/>
    <col min="2" max="2" width="110.33203125" customWidth="1"/>
  </cols>
  <sheetData>
    <row r="1" spans="1:2" ht="15" customHeight="1" x14ac:dyDescent="0.3">
      <c r="A1" s="19" t="s">
        <v>0</v>
      </c>
      <c r="B1" s="19"/>
    </row>
    <row r="2" spans="1:2" ht="20.25" customHeight="1" x14ac:dyDescent="0.3">
      <c r="A2" s="7" t="s">
        <v>198</v>
      </c>
      <c r="B2" s="24" t="s">
        <v>35</v>
      </c>
    </row>
    <row r="3" spans="1:2" ht="15" customHeight="1" x14ac:dyDescent="0.3">
      <c r="A3" s="7" t="s">
        <v>199</v>
      </c>
      <c r="B3" s="3" t="s">
        <v>36</v>
      </c>
    </row>
    <row r="4" spans="1:2" ht="15" customHeight="1" x14ac:dyDescent="0.3">
      <c r="A4" s="7" t="s">
        <v>200</v>
      </c>
      <c r="B4" s="7" t="s">
        <v>201</v>
      </c>
    </row>
    <row r="5" spans="1:2" ht="15" customHeight="1" x14ac:dyDescent="0.3">
      <c r="A5" s="7" t="s">
        <v>202</v>
      </c>
      <c r="B5" s="7" t="s">
        <v>37</v>
      </c>
    </row>
    <row r="6" spans="1:2" ht="15" customHeight="1" x14ac:dyDescent="0.3">
      <c r="A6" s="7" t="s">
        <v>203</v>
      </c>
      <c r="B6" s="4" t="s">
        <v>238</v>
      </c>
    </row>
    <row r="7" spans="1:2" ht="15" customHeight="1" x14ac:dyDescent="0.3">
      <c r="A7" s="7" t="s">
        <v>205</v>
      </c>
      <c r="B7" s="4" t="s">
        <v>239</v>
      </c>
    </row>
    <row r="8" spans="1:2" ht="15" customHeight="1" x14ac:dyDescent="0.3">
      <c r="A8" s="7" t="s">
        <v>207</v>
      </c>
      <c r="B8" s="4" t="s">
        <v>240</v>
      </c>
    </row>
    <row r="9" spans="1:2" ht="15" customHeight="1" x14ac:dyDescent="0.3">
      <c r="A9" s="7" t="s">
        <v>208</v>
      </c>
      <c r="B9" s="7" t="s">
        <v>241</v>
      </c>
    </row>
    <row r="10" spans="1:2" ht="15" customHeight="1" x14ac:dyDescent="0.3">
      <c r="A10" s="7" t="s">
        <v>210</v>
      </c>
      <c r="B10" s="7" t="s">
        <v>242</v>
      </c>
    </row>
    <row r="11" spans="1:2" ht="30" customHeight="1" x14ac:dyDescent="0.3">
      <c r="A11" s="22" t="s">
        <v>212</v>
      </c>
      <c r="B11" s="7" t="s">
        <v>243</v>
      </c>
    </row>
    <row r="12" spans="1:2" x14ac:dyDescent="0.3">
      <c r="A12" s="22" t="s">
        <v>214</v>
      </c>
      <c r="B12" s="22" t="s">
        <v>244</v>
      </c>
    </row>
    <row r="13" spans="1:2" x14ac:dyDescent="0.3">
      <c r="A13" s="22" t="s">
        <v>216</v>
      </c>
      <c r="B13" s="22" t="s">
        <v>245</v>
      </c>
    </row>
    <row r="14" spans="1:2" x14ac:dyDescent="0.3">
      <c r="A14" s="22" t="s">
        <v>218</v>
      </c>
      <c r="B14" s="22" t="s">
        <v>246</v>
      </c>
    </row>
    <row r="15" spans="1:2" x14ac:dyDescent="0.3">
      <c r="A15" s="22" t="s">
        <v>220</v>
      </c>
      <c r="B15" s="22" t="s">
        <v>247</v>
      </c>
    </row>
    <row r="16" spans="1:2" x14ac:dyDescent="0.3">
      <c r="A16" s="22" t="s">
        <v>222</v>
      </c>
      <c r="B16" s="22" t="s">
        <v>248</v>
      </c>
    </row>
    <row r="17" spans="1:2" ht="15" customHeight="1" x14ac:dyDescent="0.3">
      <c r="A17" s="7" t="s">
        <v>224</v>
      </c>
      <c r="B17" s="23" t="s">
        <v>249</v>
      </c>
    </row>
    <row r="18" spans="1:2" ht="75" customHeight="1" x14ac:dyDescent="0.3">
      <c r="A18" s="7" t="s">
        <v>226</v>
      </c>
      <c r="B18" s="20" t="s">
        <v>227</v>
      </c>
    </row>
    <row r="19" spans="1:2" ht="45" customHeight="1" x14ac:dyDescent="0.3">
      <c r="A19" s="7" t="s">
        <v>228</v>
      </c>
      <c r="B19" s="4" t="s">
        <v>40</v>
      </c>
    </row>
  </sheetData>
  <hyperlinks>
    <hyperlink ref="B3" r:id="rId1"/>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25" zoomScaleNormal="100" workbookViewId="0">
      <selection activeCell="B30" sqref="B30"/>
    </sheetView>
  </sheetViews>
  <sheetFormatPr defaultColWidth="8.6640625" defaultRowHeight="14.4" x14ac:dyDescent="0.3"/>
  <cols>
    <col min="1" max="1" width="37.77734375" customWidth="1"/>
    <col min="2" max="2" width="54.44140625" customWidth="1"/>
    <col min="3" max="3" width="48.5546875" customWidth="1"/>
    <col min="4" max="4" width="61.21875" customWidth="1"/>
  </cols>
  <sheetData>
    <row r="1" spans="1:3" x14ac:dyDescent="0.3">
      <c r="A1" s="25" t="s">
        <v>250</v>
      </c>
      <c r="B1" s="25" t="s">
        <v>251</v>
      </c>
    </row>
    <row r="2" spans="1:3" x14ac:dyDescent="0.3">
      <c r="A2" s="26" t="s">
        <v>252</v>
      </c>
      <c r="B2" s="26" t="s">
        <v>41</v>
      </c>
    </row>
    <row r="3" spans="1:3" x14ac:dyDescent="0.3">
      <c r="A3" s="26" t="s">
        <v>199</v>
      </c>
      <c r="B3" s="9" t="s">
        <v>253</v>
      </c>
    </row>
    <row r="4" spans="1:3" ht="28.5" customHeight="1" x14ac:dyDescent="0.3">
      <c r="A4" s="26" t="s">
        <v>200</v>
      </c>
      <c r="B4" s="10" t="s">
        <v>43</v>
      </c>
    </row>
    <row r="5" spans="1:3" x14ac:dyDescent="0.3">
      <c r="A5" s="26" t="s">
        <v>202</v>
      </c>
      <c r="B5" s="10" t="s">
        <v>44</v>
      </c>
    </row>
    <row r="6" spans="1:3" ht="28.5" customHeight="1" x14ac:dyDescent="0.3">
      <c r="A6" s="26" t="s">
        <v>203</v>
      </c>
      <c r="B6" s="10" t="s">
        <v>254</v>
      </c>
    </row>
    <row r="7" spans="1:3" ht="72" customHeight="1" x14ac:dyDescent="0.3">
      <c r="A7" s="26" t="s">
        <v>255</v>
      </c>
      <c r="B7" s="10" t="s">
        <v>256</v>
      </c>
    </row>
    <row r="8" spans="1:3" ht="28.5" customHeight="1" x14ac:dyDescent="0.3">
      <c r="A8" s="26" t="s">
        <v>257</v>
      </c>
      <c r="B8" s="10" t="s">
        <v>46</v>
      </c>
    </row>
    <row r="10" spans="1:3" ht="15" customHeight="1" x14ac:dyDescent="0.3">
      <c r="A10" s="27" t="s">
        <v>258</v>
      </c>
    </row>
    <row r="12" spans="1:3" x14ac:dyDescent="0.3">
      <c r="A12" s="25" t="s">
        <v>259</v>
      </c>
      <c r="B12" s="25" t="s">
        <v>260</v>
      </c>
      <c r="C12" s="25" t="s">
        <v>261</v>
      </c>
    </row>
    <row r="13" spans="1:3" ht="28.8" x14ac:dyDescent="0.3">
      <c r="A13" s="10" t="s">
        <v>262</v>
      </c>
      <c r="B13" s="28" t="s">
        <v>263</v>
      </c>
      <c r="C13" s="10" t="s">
        <v>264</v>
      </c>
    </row>
    <row r="14" spans="1:3" x14ac:dyDescent="0.3">
      <c r="A14" s="10" t="s">
        <v>265</v>
      </c>
      <c r="B14" s="28" t="s">
        <v>263</v>
      </c>
      <c r="C14" s="10" t="s">
        <v>266</v>
      </c>
    </row>
    <row r="17" spans="1:4" ht="15" customHeight="1" x14ac:dyDescent="0.3">
      <c r="A17" s="27" t="s">
        <v>267</v>
      </c>
    </row>
    <row r="19" spans="1:4" x14ac:dyDescent="0.3">
      <c r="A19" s="25" t="s">
        <v>268</v>
      </c>
      <c r="B19" s="25" t="s">
        <v>269</v>
      </c>
      <c r="C19" s="25" t="s">
        <v>270</v>
      </c>
      <c r="D19" s="25" t="s">
        <v>261</v>
      </c>
    </row>
    <row r="20" spans="1:4" ht="42.75" customHeight="1" x14ac:dyDescent="0.3">
      <c r="A20" s="10" t="s">
        <v>271</v>
      </c>
      <c r="B20" s="10">
        <v>20</v>
      </c>
      <c r="C20" s="26" t="s">
        <v>272</v>
      </c>
      <c r="D20" s="10" t="s">
        <v>273</v>
      </c>
    </row>
    <row r="21" spans="1:4" ht="42.75" customHeight="1" x14ac:dyDescent="0.3">
      <c r="A21" s="10" t="s">
        <v>274</v>
      </c>
      <c r="B21" s="10">
        <v>15</v>
      </c>
      <c r="C21" s="26" t="s">
        <v>275</v>
      </c>
      <c r="D21" s="10" t="s">
        <v>276</v>
      </c>
    </row>
    <row r="22" spans="1:4" ht="28.5" customHeight="1" x14ac:dyDescent="0.3">
      <c r="A22" s="10" t="s">
        <v>277</v>
      </c>
      <c r="B22" s="10">
        <v>15</v>
      </c>
      <c r="C22" s="26" t="s">
        <v>278</v>
      </c>
      <c r="D22" s="10" t="s">
        <v>279</v>
      </c>
    </row>
    <row r="23" spans="1:4" ht="28.5" customHeight="1" x14ac:dyDescent="0.3">
      <c r="A23" s="10" t="s">
        <v>280</v>
      </c>
      <c r="B23" s="10">
        <v>15</v>
      </c>
      <c r="C23" s="26" t="s">
        <v>275</v>
      </c>
      <c r="D23" s="10" t="s">
        <v>281</v>
      </c>
    </row>
    <row r="24" spans="1:4" ht="42.75" customHeight="1" x14ac:dyDescent="0.3">
      <c r="A24" s="10" t="s">
        <v>282</v>
      </c>
      <c r="B24" s="10">
        <v>20</v>
      </c>
      <c r="C24" s="26" t="s">
        <v>283</v>
      </c>
      <c r="D24" s="10" t="s">
        <v>284</v>
      </c>
    </row>
    <row r="25" spans="1:4" ht="28.5" customHeight="1" x14ac:dyDescent="0.3">
      <c r="A25" s="10" t="s">
        <v>285</v>
      </c>
      <c r="B25" s="10">
        <v>15</v>
      </c>
      <c r="C25" s="26" t="s">
        <v>278</v>
      </c>
      <c r="D25" s="10" t="s">
        <v>286</v>
      </c>
    </row>
    <row r="27" spans="1:4" x14ac:dyDescent="0.3">
      <c r="A27" s="10" t="s">
        <v>287</v>
      </c>
      <c r="B27" s="4" t="s">
        <v>288</v>
      </c>
    </row>
    <row r="28" spans="1:4" x14ac:dyDescent="0.3">
      <c r="A28" s="10" t="s">
        <v>289</v>
      </c>
      <c r="B28" s="1" t="s">
        <v>290</v>
      </c>
    </row>
    <row r="30" spans="1:4" x14ac:dyDescent="0.3">
      <c r="A30" s="10" t="s">
        <v>291</v>
      </c>
      <c r="B30" s="4" t="s">
        <v>50</v>
      </c>
    </row>
  </sheetData>
  <hyperlinks>
    <hyperlink ref="B3" r:id="rId1"/>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zoomScaleNormal="100" workbookViewId="0">
      <selection activeCell="B22" sqref="B1:B22"/>
    </sheetView>
  </sheetViews>
  <sheetFormatPr defaultColWidth="8.6640625" defaultRowHeight="14.4" x14ac:dyDescent="0.3"/>
  <cols>
    <col min="1" max="1" width="42.44140625" customWidth="1"/>
    <col min="2" max="2" width="96.88671875" customWidth="1"/>
  </cols>
  <sheetData>
    <row r="1" spans="1:2" ht="15" customHeight="1" x14ac:dyDescent="0.3">
      <c r="A1" s="19" t="s">
        <v>0</v>
      </c>
      <c r="B1" s="19"/>
    </row>
    <row r="2" spans="1:2" ht="15" customHeight="1" x14ac:dyDescent="0.3">
      <c r="A2" s="7" t="s">
        <v>198</v>
      </c>
      <c r="B2" s="1"/>
    </row>
    <row r="3" spans="1:2" ht="15" customHeight="1" x14ac:dyDescent="0.3">
      <c r="A3" s="7" t="s">
        <v>199</v>
      </c>
      <c r="B3" s="3"/>
    </row>
    <row r="4" spans="1:2" ht="15" customHeight="1" x14ac:dyDescent="0.3">
      <c r="A4" s="7" t="s">
        <v>200</v>
      </c>
      <c r="B4" s="4"/>
    </row>
    <row r="5" spans="1:2" ht="15" customHeight="1" x14ac:dyDescent="0.3">
      <c r="A5" s="7" t="s">
        <v>202</v>
      </c>
      <c r="B5" s="4"/>
    </row>
    <row r="6" spans="1:2" ht="15" customHeight="1" x14ac:dyDescent="0.3">
      <c r="A6" s="7" t="s">
        <v>203</v>
      </c>
      <c r="B6" s="4"/>
    </row>
    <row r="7" spans="1:2" ht="15" customHeight="1" x14ac:dyDescent="0.3">
      <c r="A7" s="7" t="s">
        <v>205</v>
      </c>
      <c r="B7" s="4"/>
    </row>
    <row r="8" spans="1:2" ht="15" customHeight="1" x14ac:dyDescent="0.3">
      <c r="A8" s="7" t="s">
        <v>207</v>
      </c>
      <c r="B8" s="3"/>
    </row>
    <row r="9" spans="1:2" ht="15" customHeight="1" x14ac:dyDescent="0.35">
      <c r="A9" s="7" t="s">
        <v>208</v>
      </c>
      <c r="B9" s="6"/>
    </row>
    <row r="10" spans="1:2" ht="15" customHeight="1" x14ac:dyDescent="0.3">
      <c r="A10" s="7" t="s">
        <v>210</v>
      </c>
      <c r="B10" s="7"/>
    </row>
    <row r="11" spans="1:2" ht="30" customHeight="1" x14ac:dyDescent="0.3">
      <c r="A11" s="22" t="s">
        <v>212</v>
      </c>
      <c r="B11" s="7"/>
    </row>
    <row r="12" spans="1:2" x14ac:dyDescent="0.3">
      <c r="A12" s="22" t="s">
        <v>214</v>
      </c>
      <c r="B12" s="22"/>
    </row>
    <row r="13" spans="1:2" x14ac:dyDescent="0.3">
      <c r="A13" s="22" t="s">
        <v>216</v>
      </c>
      <c r="B13" s="22"/>
    </row>
    <row r="14" spans="1:2" x14ac:dyDescent="0.3">
      <c r="A14" s="22" t="s">
        <v>218</v>
      </c>
      <c r="B14" s="22"/>
    </row>
    <row r="15" spans="1:2" x14ac:dyDescent="0.3">
      <c r="A15" s="22" t="s">
        <v>220</v>
      </c>
      <c r="B15" s="22"/>
    </row>
    <row r="16" spans="1:2" x14ac:dyDescent="0.3">
      <c r="A16" s="22" t="s">
        <v>222</v>
      </c>
      <c r="B16" s="22"/>
    </row>
    <row r="17" spans="1:2" ht="15" customHeight="1" x14ac:dyDescent="0.3">
      <c r="A17" s="7" t="s">
        <v>224</v>
      </c>
      <c r="B17" s="23"/>
    </row>
    <row r="18" spans="1:2" ht="15" customHeight="1" x14ac:dyDescent="0.3">
      <c r="A18" s="7" t="s">
        <v>226</v>
      </c>
      <c r="B18" s="20"/>
    </row>
    <row r="19" spans="1:2" ht="15" customHeight="1" x14ac:dyDescent="0.3">
      <c r="A19" s="7" t="s">
        <v>228</v>
      </c>
      <c r="B19" s="4"/>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Companies</vt:lpstr>
      <vt:lpstr>Summary</vt:lpstr>
      <vt:lpstr>Fabgear Corp</vt:lpstr>
      <vt:lpstr>Elite Engineering Co.</vt:lpstr>
      <vt:lpstr>Gurudatta CNC</vt:lpstr>
      <vt:lpstr>Associated Manufacturing LLP</vt:lpstr>
      <vt:lpstr>Sheet8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Niloy Talukdar</dc:creator>
  <dc:description/>
  <cp:lastModifiedBy>Niloy Talukdar</cp:lastModifiedBy>
  <cp:revision>0</cp:revision>
  <dcterms:created xsi:type="dcterms:W3CDTF">2026-05-29T04:44:25Z</dcterms:created>
  <dcterms:modified xsi:type="dcterms:W3CDTF">2026-05-30T11:21:46Z</dcterms:modified>
  <dc:language>en-US</dc:language>
</cp:coreProperties>
</file>